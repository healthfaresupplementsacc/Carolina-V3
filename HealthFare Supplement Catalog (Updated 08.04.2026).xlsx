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f524bd289f4aed" /></Relationships>
</file>

<file path=xl/workbook.xml><?xml version="1.0" encoding="utf-8"?>
<x:workbook xmlns:x="http://schemas.openxmlformats.org/spreadsheetml/2006/main">
  <x:sheets>
    <x:sheet xmlns:r="http://schemas.openxmlformats.org/officeDocument/2006/relationships" name="Resumo" sheetId="1" r:id="R3b7804f8570e461c"/>
    <x:sheet xmlns:r="http://schemas.openxmlformats.org/officeDocument/2006/relationships" name="Catálogo" sheetId="2" r:id="Ra93c61b6ab8c45d4"/>
    <x:sheet xmlns:r="http://schemas.openxmlformats.org/officeDocument/2006/relationships" name="Supplement Facts" sheetId="3" r:id="R4927ecc57ced4a27"/>
    <x:sheet xmlns:r="http://schemas.openxmlformats.org/officeDocument/2006/relationships" name="COAs Matéria-Prima" sheetId="4" r:id="Rd47b2100926a4938"/>
    <x:sheet xmlns:r="http://schemas.openxmlformats.org/officeDocument/2006/relationships" name="Metodologia" sheetId="5" r:id="R0cecb1ec02e242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mm/yyyy"/>
    <x:numFmt numFmtId="203" formatCode="yyyy-mm-dd"/>
  </x:numFmts>
  <x:fonts count="12">
    <x:font>
      <x:sz val="11"/>
      <x:name val="Carlito"/>
    </x:font>
    <x:font>
      <x:b/>
      <x:sz val="18"/>
      <x:color rgb="FFFFFFFF"/>
      <x:name val="Carlito"/>
    </x:font>
    <x:font>
      <x:i/>
      <x:sz val="10"/>
      <x:color rgb="FF17324D"/>
      <x:name val="Carlito"/>
    </x:font>
    <x:font>
      <x:b/>
      <x:sz val="10"/>
      <x:color rgb="FFFFFFFF"/>
      <x:name val="Carlito"/>
    </x:font>
    <x:font>
      <x:b/>
      <x:sz val="22"/>
      <x:color rgb="FF17324D"/>
      <x:name val="Carlito"/>
    </x:font>
    <x:font>
      <x:b/>
      <x:sz val="12"/>
      <x:color rgb="FFFFFFFF"/>
      <x:name val="Carlito"/>
    </x:font>
    <x:font>
      <x:sz val="10"/>
      <x:color rgb="FF101828"/>
      <x:name val="Carlito"/>
    </x:font>
    <x:font>
      <x:b/>
      <x:sz val="11"/>
      <x:color rgb="FFFFFFFF"/>
      <x:name val="Carlito"/>
    </x:font>
    <x:font>
      <x:b/>
      <x:sz val="11"/>
      <x:color rgb="FF17324D"/>
      <x:name val="Carlito"/>
    </x:font>
    <x:font>
      <x:sz val="9"/>
      <x:color rgb="FF101828"/>
      <x:name val="Carlito"/>
    </x:font>
    <x:font>
      <x:sz val="9"/>
      <x:name val="Carlito"/>
    </x:font>
    <x:font>
      <x:sz val="10"/>
      <x:name val="Carlito"/>
    </x:font>
  </x:fonts>
  <x:fills count="11">
    <x:fill>
      <x:patternFill patternType="none"/>
    </x:fill>
    <x:fill>
      <x:patternFill patternType="gray125"/>
    </x:fill>
    <x:fill>
      <x:patternFill patternType="solid">
        <x:fgColor rgb="FF17324D"/>
      </x:patternFill>
    </x:fill>
    <x:fill>
      <x:patternFill patternType="solid">
        <x:fgColor rgb="FFE8F1F8"/>
      </x:patternFill>
    </x:fill>
    <x:fill>
      <x:patternFill patternType="solid">
        <x:fgColor rgb="FF0F766E"/>
      </x:patternFill>
    </x:fill>
    <x:fill>
      <x:patternFill patternType="solid">
        <x:fgColor rgb="FFD1FAE5"/>
      </x:patternFill>
    </x:fill>
    <x:fill>
      <x:patternFill patternType="solid">
        <x:fgColor rgb="FFD6A84B"/>
      </x:patternFill>
    </x:fill>
    <x:fill>
      <x:patternFill patternType="solid">
        <x:fgColor rgb="FFFFFFFF"/>
      </x:patternFill>
    </x:fill>
    <x:fill>
      <x:patternFill patternType="solid">
        <x:fgColor rgb="FFF2F4F7"/>
      </x:patternFill>
    </x:fill>
    <x:fill>
      <x:patternFill patternType="solid">
        <x:fgColor rgb="FFFFF4CC"/>
      </x:patternFill>
    </x:fill>
    <x:fill>
      <x:patternFill patternType="solid">
        <x:fgColor rgb="FFFEE4E2"/>
      </x:patternFill>
    </x:fill>
  </x:fills>
  <x:borders count="12">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border>
    <x:border>
      <x:right style="thin">
        <x:color rgb="FFD0D5DD"/>
      </x:right>
    </x:border>
  </x:borders>
  <x:cellStyleXfs count="1">
    <x:xf numFmtId="0" fontId="0" fillId="0" borderId="0"/>
  </x:cellStyleXfs>
  <x:cellXfs count="1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horizontal="center"/>
    </x:xf>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4" fillId="5" borderId="9" xfId="0" applyNumberFormat="1" applyFont="1" applyFill="1" applyBorder="1"/>
    <x:xf numFmtId="200" fontId="4" fillId="5" borderId="4" xfId="0" applyNumberFormat="1" applyFont="1" applyFill="1" applyBorder="1"/>
    <x:xf numFmtId="200" fontId="4" fillId="5" borderId="5" xfId="0" applyNumberFormat="1" applyFont="1" applyFill="1" applyBorder="1"/>
    <x:xf numFmtId="200" fontId="4" fillId="5" borderId="6" xfId="0" applyNumberFormat="1" applyFont="1" applyFill="1" applyBorder="1"/>
    <x:xf numFmtId="200" fontId="4" fillId="5" borderId="7" xfId="0" applyNumberFormat="1" applyFont="1" applyFill="1" applyBorder="1"/>
    <x:xf numFmtId="200" fontId="4" fillId="5" borderId="8" xfId="0" applyNumberFormat="1" applyFont="1" applyFill="1" applyBorder="1"/>
    <x:xf numFmtId="200" fontId="4" fillId="5" borderId="9" xfId="0" applyNumberFormat="1" applyFont="1" applyFill="1" applyBorder="1"/>
    <x:xf numFmtId="200" fontId="4" fillId="5" borderId="4" xfId="0" applyNumberFormat="1" applyFont="1" applyFill="1" applyBorder="1" applyAlignment="1">
      <x:alignment horizontal="center"/>
    </x:xf>
    <x:xf numFmtId="200" fontId="4" fillId="5" borderId="5" xfId="0" applyNumberFormat="1" applyFont="1" applyFill="1" applyBorder="1" applyAlignment="1">
      <x:alignment horizontal="center"/>
    </x:xf>
    <x:xf numFmtId="200" fontId="4" fillId="5" borderId="6" xfId="0" applyNumberFormat="1" applyFont="1" applyFill="1" applyBorder="1" applyAlignment="1">
      <x:alignment horizontal="center"/>
    </x:xf>
    <x:xf numFmtId="200" fontId="4" fillId="5" borderId="7" xfId="0" applyNumberFormat="1" applyFont="1" applyFill="1" applyBorder="1" applyAlignment="1">
      <x:alignment horizontal="center"/>
    </x:xf>
    <x:xf numFmtId="200" fontId="4" fillId="5" borderId="8" xfId="0" applyNumberFormat="1" applyFont="1" applyFill="1" applyBorder="1" applyAlignment="1">
      <x:alignment horizontal="center"/>
    </x:xf>
    <x:xf numFmtId="200" fontId="4" fillId="5" borderId="9" xfId="0" applyNumberFormat="1" applyFont="1" applyFill="1" applyBorder="1" applyAlignment="1">
      <x:alignment horizontal="center"/>
    </x:xf>
    <x:xf numFmtId="200" fontId="4" fillId="5" borderId="4" xfId="0" applyNumberFormat="1" applyFont="1" applyFill="1" applyBorder="1" applyAlignment="1">
      <x:alignment horizontal="center" vertical="center"/>
    </x:xf>
    <x:xf numFmtId="200" fontId="4" fillId="5" borderId="5" xfId="0" applyNumberFormat="1" applyFont="1" applyFill="1" applyBorder="1" applyAlignment="1">
      <x:alignment horizontal="center" vertical="center"/>
    </x:xf>
    <x:xf numFmtId="200" fontId="4" fillId="5" borderId="6" xfId="0" applyNumberFormat="1" applyFont="1" applyFill="1" applyBorder="1" applyAlignment="1">
      <x:alignment horizontal="center" vertical="center"/>
    </x:xf>
    <x:xf numFmtId="200" fontId="4" fillId="5" borderId="7" xfId="0" applyNumberFormat="1" applyFont="1" applyFill="1" applyBorder="1" applyAlignment="1">
      <x:alignment horizontal="center" vertical="center"/>
    </x:xf>
    <x:xf numFmtId="200" fontId="4" fillId="5" borderId="8" xfId="0" applyNumberFormat="1" applyFont="1" applyFill="1" applyBorder="1" applyAlignment="1">
      <x:alignment horizontal="center" vertical="center"/>
    </x:xf>
    <x:xf numFmtId="200" fontId="4" fillId="5" borderId="9" xfId="0" applyNumberFormat="1" applyFont="1" applyFill="1" applyBorder="1" applyAlignment="1">
      <x:alignment horizontal="center" vertical="center"/>
    </x:xf>
    <x:xf numFmtId="201" fontId="4" fillId="5" borderId="4" xfId="0" applyNumberFormat="1" applyFont="1" applyFill="1" applyBorder="1"/>
    <x:xf numFmtId="201" fontId="4" fillId="5" borderId="5" xfId="0" applyNumberFormat="1" applyFont="1" applyFill="1" applyBorder="1"/>
    <x:xf numFmtId="201" fontId="4" fillId="5" borderId="6" xfId="0" applyNumberFormat="1" applyFont="1" applyFill="1" applyBorder="1"/>
    <x:xf numFmtId="201" fontId="4" fillId="5" borderId="7" xfId="0" applyNumberFormat="1" applyFont="1" applyFill="1" applyBorder="1"/>
    <x:xf numFmtId="201" fontId="4" fillId="5" borderId="8" xfId="0" applyNumberFormat="1" applyFont="1" applyFill="1" applyBorder="1"/>
    <x:xf numFmtId="201" fontId="4" fillId="5" borderId="9" xfId="0" applyNumberFormat="1" applyFont="1" applyFill="1" applyBorder="1"/>
    <x:xf numFmtId="201" fontId="4" fillId="5" borderId="4" xfId="0" applyNumberFormat="1" applyFont="1" applyFill="1" applyBorder="1" applyAlignment="1">
      <x:alignment horizontal="center"/>
    </x:xf>
    <x:xf numFmtId="201" fontId="4" fillId="5" borderId="5" xfId="0" applyNumberFormat="1" applyFont="1" applyFill="1" applyBorder="1" applyAlignment="1">
      <x:alignment horizontal="center"/>
    </x:xf>
    <x:xf numFmtId="201" fontId="4" fillId="5" borderId="6" xfId="0" applyNumberFormat="1" applyFont="1" applyFill="1" applyBorder="1" applyAlignment="1">
      <x:alignment horizontal="center"/>
    </x:xf>
    <x:xf numFmtId="201" fontId="4" fillId="5" borderId="7" xfId="0" applyNumberFormat="1" applyFont="1" applyFill="1" applyBorder="1" applyAlignment="1">
      <x:alignment horizontal="center"/>
    </x:xf>
    <x:xf numFmtId="201" fontId="4" fillId="5" borderId="8" xfId="0" applyNumberFormat="1" applyFont="1" applyFill="1" applyBorder="1" applyAlignment="1">
      <x:alignment horizontal="center"/>
    </x:xf>
    <x:xf numFmtId="201" fontId="4" fillId="5" borderId="9" xfId="0" applyNumberFormat="1" applyFont="1" applyFill="1" applyBorder="1" applyAlignment="1">
      <x:alignment horizontal="center"/>
    </x:xf>
    <x:xf numFmtId="201" fontId="4" fillId="5" borderId="4" xfId="0" applyNumberFormat="1" applyFont="1" applyFill="1" applyBorder="1" applyAlignment="1">
      <x:alignment horizontal="center" vertical="center"/>
    </x:xf>
    <x:xf numFmtId="201" fontId="4" fillId="5" borderId="5" xfId="0" applyNumberFormat="1" applyFont="1" applyFill="1" applyBorder="1" applyAlignment="1">
      <x:alignment horizontal="center" vertical="center"/>
    </x:xf>
    <x:xf numFmtId="201" fontId="4" fillId="5" borderId="6" xfId="0" applyNumberFormat="1" applyFont="1" applyFill="1" applyBorder="1" applyAlignment="1">
      <x:alignment horizontal="center" vertical="center"/>
    </x:xf>
    <x:xf numFmtId="201" fontId="4" fillId="5" borderId="7" xfId="0" applyNumberFormat="1" applyFont="1" applyFill="1" applyBorder="1" applyAlignment="1">
      <x:alignment horizontal="center" vertical="center"/>
    </x:xf>
    <x:xf numFmtId="201" fontId="4" fillId="5" borderId="8" xfId="0" applyNumberFormat="1" applyFont="1" applyFill="1" applyBorder="1" applyAlignment="1">
      <x:alignment horizontal="center" vertical="center"/>
    </x:xf>
    <x:xf numFmtId="201" fontId="4" fillId="5" borderId="9"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1" xfId="0" applyNumberFormat="1" applyFont="1" applyFill="1" applyBorder="1" applyAlignment="1">
      <x:alignment wrapText="1"/>
    </x:xf>
    <x:xf numFmtId="0" fontId="6" fillId="7" borderId="2"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1" xfId="0" applyNumberFormat="1" applyFont="1" applyFill="1" applyBorder="1" applyAlignment="1">
      <x:alignment vertical="center" wrapText="1"/>
    </x:xf>
    <x:xf numFmtId="0" fontId="6" fillId="7" borderId="2" xfId="0" applyNumberFormat="1" applyFont="1" applyFill="1" applyBorder="1" applyAlignment="1">
      <x:alignment vertical="center" wrapText="1"/>
    </x:xf>
    <x:xf numFmtId="0" fontId="6" fillId="7" borderId="3"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1" xfId="0" applyNumberFormat="1" applyFont="1" applyFill="1" applyBorder="1"/>
    <x:xf numFmtId="0" fontId="6" fillId="8" borderId="2" xfId="0" applyNumberFormat="1" applyFont="1" applyFill="1" applyBorder="1"/>
    <x:xf numFmtId="0" fontId="6" fillId="8" borderId="3" xfId="0" applyNumberFormat="1" applyFont="1" applyFill="1" applyBorder="1"/>
    <x:xf numFmtId="0" fontId="6" fillId="8" borderId="1" xfId="0" applyNumberFormat="1" applyFont="1" applyFill="1" applyBorder="1" applyAlignment="1">
      <x:alignment wrapText="1"/>
    </x:xf>
    <x:xf numFmtId="0" fontId="6" fillId="8" borderId="2" xfId="0" applyNumberFormat="1" applyFont="1" applyFill="1" applyBorder="1" applyAlignment="1">
      <x:alignment wrapText="1"/>
    </x:xf>
    <x:xf numFmtId="0" fontId="6" fillId="8" borderId="3" xfId="0" applyNumberFormat="1" applyFont="1" applyFill="1" applyBorder="1" applyAlignment="1">
      <x:alignment wrapText="1"/>
    </x:xf>
    <x:xf numFmtId="0" fontId="6" fillId="8" borderId="1"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6" fillId="8" borderId="3" xfId="0" applyNumberFormat="1" applyFont="1" applyFill="1" applyBorder="1" applyAlignment="1">
      <x:alignment vertical="center" wrapText="1"/>
    </x:xf>
    <x:xf numFmtId="0" fontId="7" fillId="2" borderId="0" xfId="0" applyNumberFormat="1" applyFont="1" applyFill="1" applyBorder="1"/>
    <x:xf numFmtId="0" fontId="8" fillId="3" borderId="0" xfId="0" applyNumberFormat="1" applyFont="1" applyFill="1" applyBorder="1"/>
    <x:xf numFmtId="0" fontId="0" fillId="9" borderId="0" xfId="0" applyNumberFormat="1" applyFont="1" applyFill="1" applyBorder="1"/>
    <x:xf numFmtId="0" fontId="0" fillId="10" borderId="0" xfId="0" applyNumberFormat="1" applyFont="1" applyFill="1" applyBorder="1"/>
    <x:xf numFmtId="0" fontId="8" fillId="3" borderId="4" xfId="0" applyNumberFormat="1" applyFont="1" applyFill="1" applyBorder="1"/>
    <x:xf numFmtId="0" fontId="8" fillId="3" borderId="5" xfId="0" applyNumberFormat="1" applyFont="1" applyFill="1" applyBorder="1"/>
    <x:xf numFmtId="0" fontId="8" fillId="3" borderId="6" xfId="0" applyNumberFormat="1" applyFont="1" applyFill="1" applyBorder="1"/>
    <x:xf numFmtId="0" fontId="0" fillId="5" borderId="10" xfId="0" applyNumberFormat="1" applyFont="1" applyFill="1" applyBorder="1"/>
    <x:xf numFmtId="0" fontId="0" fillId="0" borderId="0" xfId="0" applyNumberFormat="1" applyFont="1" applyFill="1" applyBorder="1"/>
    <x:xf numFmtId="0" fontId="0" fillId="0" borderId="11" xfId="0" applyNumberFormat="1" applyFont="1" applyFill="1" applyBorder="1"/>
    <x:xf numFmtId="0" fontId="0" fillId="9" borderId="10" xfId="0" applyNumberFormat="1" applyFont="1" applyFill="1" applyBorder="1"/>
    <x:xf numFmtId="0" fontId="0" fillId="1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200" fontId="4" fillId="5" borderId="4" xfId="0" applyNumberFormat="1" applyFont="1" applyFill="1" applyBorder="1" applyAlignment="1">
      <x:alignment horizontal="center" vertical="center" wrapText="1"/>
    </x:xf>
    <x:xf numFmtId="200" fontId="4" fillId="5" borderId="5" xfId="0" applyNumberFormat="1" applyFont="1" applyFill="1" applyBorder="1" applyAlignment="1">
      <x:alignment horizontal="center" vertical="center" wrapText="1"/>
    </x:xf>
    <x:xf numFmtId="200" fontId="4" fillId="5" borderId="6" xfId="0" applyNumberFormat="1" applyFont="1" applyFill="1" applyBorder="1" applyAlignment="1">
      <x:alignment horizontal="center" vertical="center" wrapText="1"/>
    </x:xf>
    <x:xf numFmtId="201" fontId="4" fillId="5" borderId="4" xfId="0" applyNumberFormat="1" applyFont="1" applyFill="1" applyBorder="1" applyAlignment="1">
      <x:alignment horizontal="center" vertical="center" wrapText="1"/>
    </x:xf>
    <x:xf numFmtId="201" fontId="4" fillId="5" borderId="5" xfId="0" applyNumberFormat="1" applyFont="1" applyFill="1" applyBorder="1" applyAlignment="1">
      <x:alignment horizontal="center" vertical="center" wrapText="1"/>
    </x:xf>
    <x:xf numFmtId="201" fontId="4" fillId="5" borderId="6" xfId="0" applyNumberFormat="1" applyFont="1" applyFill="1" applyBorder="1" applyAlignment="1">
      <x:alignment horizontal="center" vertical="center" wrapText="1"/>
    </x:xf>
    <x:xf numFmtId="200" fontId="4" fillId="5" borderId="7" xfId="0" applyNumberFormat="1" applyFont="1" applyFill="1" applyBorder="1" applyAlignment="1">
      <x:alignment horizontal="center" vertical="center" wrapText="1"/>
    </x:xf>
    <x:xf numFmtId="200" fontId="4" fillId="5" borderId="8" xfId="0" applyNumberFormat="1" applyFont="1" applyFill="1" applyBorder="1" applyAlignment="1">
      <x:alignment horizontal="center" vertical="center" wrapText="1"/>
    </x:xf>
    <x:xf numFmtId="200" fontId="4" fillId="5" borderId="9" xfId="0" applyNumberFormat="1" applyFont="1" applyFill="1" applyBorder="1" applyAlignment="1">
      <x:alignment horizontal="center" vertical="center" wrapText="1"/>
    </x:xf>
    <x:xf numFmtId="201" fontId="4" fillId="5" borderId="7" xfId="0" applyNumberFormat="1" applyFont="1" applyFill="1" applyBorder="1" applyAlignment="1">
      <x:alignment horizontal="center" vertical="center" wrapText="1"/>
    </x:xf>
    <x:xf numFmtId="201" fontId="4" fillId="5" borderId="8" xfId="0" applyNumberFormat="1" applyFont="1" applyFill="1" applyBorder="1" applyAlignment="1">
      <x:alignment horizontal="center" vertical="center" wrapText="1"/>
    </x:xf>
    <x:xf numFmtId="201" fontId="4" fillId="5" borderId="9" xfId="0" applyNumberFormat="1" applyFont="1" applyFill="1" applyBorder="1" applyAlignment="1">
      <x:alignment horizontal="center" vertical="center" wrapText="1"/>
    </x:xf>
    <x:xf numFmtId="0" fontId="5" fillId="6" borderId="0" xfId="0" applyNumberFormat="1" applyFont="1" applyFill="1" applyBorder="1" applyAlignment="1">
      <x:alignment wrapText="1"/>
    </x:xf>
    <x:xf numFmtId="0" fontId="7" fillId="2" borderId="0" xfId="0" applyNumberFormat="1" applyFont="1" applyFill="1" applyBorder="1" applyAlignment="1">
      <x:alignment wrapText="1"/>
    </x:xf>
    <x:xf numFmtId="0" fontId="8" fillId="3" borderId="4" xfId="0" applyNumberFormat="1" applyFont="1" applyFill="1" applyBorder="1" applyAlignment="1">
      <x:alignment wrapText="1"/>
    </x:xf>
    <x:xf numFmtId="0" fontId="8" fillId="3" borderId="5" xfId="0" applyNumberFormat="1" applyFont="1" applyFill="1" applyBorder="1" applyAlignment="1">
      <x:alignment wrapText="1"/>
    </x:xf>
    <x:xf numFmtId="0" fontId="8" fillId="3" borderId="6" xfId="0" applyNumberFormat="1" applyFont="1" applyFill="1" applyBorder="1" applyAlignment="1">
      <x:alignment wrapText="1"/>
    </x:xf>
    <x:xf numFmtId="0" fontId="0" fillId="5"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9" borderId="10" xfId="0" applyNumberFormat="1" applyFont="1" applyFill="1" applyBorder="1" applyAlignment="1">
      <x:alignment wrapText="1"/>
    </x:xf>
    <x:xf numFmtId="0" fontId="0" fillId="1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2" fontId="9" fillId="0" borderId="0" xfId="0" applyNumberFormat="1" applyFont="1" applyFill="1" applyBorder="1" applyAlignment="1">
      <x:alignment vertical="top"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203" fontId="10" fillId="0" borderId="0"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cellXfs>
  <x:cellStyles count="1">
    <x:cellStyle name="Normal" xfId="0"/>
  </x:cellStyles>
  <x:dxfs count="3">
    <x:dxf>
      <x:font>
        <x:b/>
        <x:color rgb="FFB42318"/>
      </x:font>
      <x:fill>
        <x:patternFill patternType="solid">
          <x:bgColor rgb="FFFEE4E2"/>
        </x:patternFill>
      </x:fill>
    </x:dxf>
    <x:dxf>
      <x:font>
        <x:color rgb="FF7A5D00"/>
      </x:font>
      <x:fill>
        <x:patternFill patternType="solid">
          <x:bgColor rgb="FFFFF4CC"/>
        </x:patternFill>
      </x:fill>
    </x:dxf>
    <x:dxf>
      <x:font>
        <x:color rgb="FF05603A"/>
      </x:font>
      <x:fill>
        <x:patternFill patternType="solid">
          <x:bgColor rgb="FFD1FA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73737d90d54fee" /><Relationship Type="http://schemas.openxmlformats.org/officeDocument/2006/relationships/theme" Target="/xl/theme/theme1.xml" Id="Rc4807a0641c843de" /><Relationship Type="http://schemas.openxmlformats.org/officeDocument/2006/relationships/sharedStrings" Target="/xl/sharedStrings.xml" Id="R9b99493b0f8b4dfd" /><Relationship Type="http://schemas.openxmlformats.org/officeDocument/2006/relationships/worksheet" Target="/xl/worksheets/sheet1.xml" Id="R3b7804f8570e461c" /><Relationship Type="http://schemas.openxmlformats.org/officeDocument/2006/relationships/worksheet" Target="/xl/worksheets/sheet2.xml" Id="Ra93c61b6ab8c45d4" /><Relationship Type="http://schemas.openxmlformats.org/officeDocument/2006/relationships/worksheet" Target="/xl/worksheets/sheet3.xml" Id="R4927ecc57ced4a27" /><Relationship Type="http://schemas.openxmlformats.org/officeDocument/2006/relationships/worksheet" Target="/xl/worksheets/sheet4.xml" Id="Rd47b2100926a4938" /><Relationship Type="http://schemas.openxmlformats.org/officeDocument/2006/relationships/worksheet" Target="/xl/worksheets/sheet5.xml" Id="R0cecb1ec02e24294" /></Relationships>
</file>

<file path=xl/tables/table1.xml><?xml version="1.0" encoding="utf-8"?>
<x:table xmlns:x="http://schemas.openxmlformats.org/spreadsheetml/2006/main" id="1" name="SupplementCatalog" displayName="SupplementCatalog" ref="A4:N102" headerRowCount="1" totalsRowCount="0" totalsRowShown="0">
  <x:tableColumns count="14">
    <x:tableColumn id="1" name="Família"/>
    <x:tableColumn id="2" name="Suplemento / SKU"/>
    <x:tableColumn id="3" name="Status"/>
    <x:tableColumn id="4" name="Conteúdo / embalagem"/>
    <x:tableColumn id="5" name="Porção"/>
    <x:tableColumn id="6" name="Porções / frasco"/>
    <x:tableColumn id="7" name="Potência / ativos principais"/>
    <x:tableColumn id="8" name="Validade"/>
    <x:tableColumn id="9" name="Lote / Batch"/>
    <x:tableColumn id="10" name="Confiança da validade"/>
    <x:tableColumn id="11" name="Confiança do lote"/>
    <x:tableColumn id="12" name="Fonte dos fatos"/>
    <x:tableColumn id="13" name="Fonte da validade"/>
    <x:tableColumn id="14" name="Observações"/>
  </x:tableColumns>
  <x:tableStyleInfo name="TableStyleMedium2" showFirstColumn="0" showLastColumn="0" showRowStripes="1" showColumnStripes="0"/>
</x:table>
</file>

<file path=xl/tables/table2.xml><?xml version="1.0" encoding="utf-8"?>
<x:table xmlns:x="http://schemas.openxmlformats.org/spreadsheetml/2006/main" id="2" name="SupplementFactsDetails" displayName="SupplementFactsDetails" ref="A4:J102" headerRowCount="1" totalsRowCount="0" totalsRowShown="0">
  <x:tableColumns count="10">
    <x:tableColumn id="1" name="Suplemento / SKU"/>
    <x:tableColumn id="2" name="Família"/>
    <x:tableColumn id="3" name="Porção"/>
    <x:tableColumn id="4" name="Porções / frasco"/>
    <x:tableColumn id="5" name="Ingredientes ativos e quantidades"/>
    <x:tableColumn id="6" name="Transcrição do painel Supplement Facts"/>
    <x:tableColumn id="7" name="Outros ingredientes"/>
    <x:tableColumn id="8" name="Modo de uso"/>
    <x:tableColumn id="9" name="Fonte"/>
    <x:tableColumn id="10" name="Observações"/>
  </x:tableColumns>
  <x:tableStyleInfo name="TableStyleMedium4" showFirstColumn="0" showLastColumn="0" showRowStripes="1" showColumnStripes="0"/>
</x:table>
</file>

<file path=xl/tables/table3.xml><?xml version="1.0" encoding="utf-8"?>
<x:table xmlns:x="http://schemas.openxmlformats.org/spreadsheetml/2006/main" id="3" name="RawMaterialCOAs" displayName="RawMaterialCOAs" ref="A4:F44" headerRowCount="1" totalsRowCount="0" totalsRowShown="0">
  <x:tableColumns count="6">
    <x:tableColumn id="1" name="Matéria-prima"/>
    <x:tableColumn id="2" name="Lote"/>
    <x:tableColumn id="3" name="Data de fabricação"/>
    <x:tableColumn id="4" name="Data de expiração"/>
    <x:tableColumn id="5" name="Fonte"/>
    <x:tableColumn id="6" name="Observações"/>
  </x:tableColumns>
  <x:tableStyleInfo name="TableStyleMedium9" showFirstColumn="0" showLastColumn="0" showRowStripes="1" showColumnStripes="0"/>
</x:table>
</file>

<file path=xl/tables/table4.xml><?xml version="1.0" encoding="utf-8"?>
<x:table xmlns:x="http://schemas.openxmlformats.org/spreadsheetml/2006/main" id="4" name="MethodologyTable" displayName="MethodologyTable" ref="A4:B19" headerRowCount="1" totalsRowCount="0" totalsRowShown="0">
  <x:tableColumns count="2">
    <x:tableColumn id="1" name="Campo"/>
    <x:tableColumn id="2" name="Descri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ac5a7eee92412c" /></Relationships>
</file>

<file path=xl/worksheets/_rels/sheet3.xml.rels>&#65279;<?xml version="1.0" encoding="utf-8"?><Relationships xmlns="http://schemas.openxmlformats.org/package/2006/relationships"><Relationship Type="http://schemas.openxmlformats.org/officeDocument/2006/relationships/table" Target="/xl/tables/table2.xml" Id="R9867c719285f4bf7" /></Relationships>
</file>

<file path=xl/worksheets/_rels/sheet4.xml.rels>&#65279;<?xml version="1.0" encoding="utf-8"?><Relationships xmlns="http://schemas.openxmlformats.org/package/2006/relationships"><Relationship Type="http://schemas.openxmlformats.org/officeDocument/2006/relationships/table" Target="/xl/tables/table3.xml" Id="Rdf069cc6f21b4d80" /></Relationships>
</file>

<file path=xl/worksheets/_rels/sheet5.xml.rels>&#65279;<?xml version="1.0" encoding="utf-8"?><Relationships xmlns="http://schemas.openxmlformats.org/package/2006/relationships"><Relationship Type="http://schemas.openxmlformats.org/officeDocument/2006/relationships/table" Target="/xl/tables/table4.xml" Id="R0578b2cc4ffa4ad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3" hidden="0" customWidth="1"/>
    <x:col min="5" max="5" width="18" hidden="0" customWidth="1"/>
    <x:col min="6" max="6" width="18" hidden="0" customWidth="1"/>
    <x:col min="7" max="7" width="18" hidden="0" customWidth="1"/>
    <x:col min="8" max="8" width="3" hidden="0" customWidth="1"/>
    <x:col min="9" max="9" width="18" hidden="0" customWidth="1"/>
    <x:col min="10" max="10" width="18" hidden="0" customWidth="1"/>
    <x:col min="11" max="11" width="18" hidden="0" customWidth="1"/>
    <x:col min="12" max="12" width="3" hidden="0" customWidth="1"/>
    <x:col min="13" max="13" width="18" hidden="0" customWidth="1"/>
    <x:col min="14" max="14" width="18" hidden="0" customWidth="1"/>
  </x:cols>
  <x:sheetData>
    <x:row r="1" ht="34" customHeight="1">
      <x:c r="A1" s="100" t="str">
        <x:v>HealthFare - Catálogo Consolidado de Suplementos</x:v>
      </x:c>
      <x:c r="B1" s="100"/>
      <x:c r="C1" s="100"/>
      <x:c r="D1" s="100"/>
      <x:c r="E1" s="100"/>
      <x:c r="F1" s="100"/>
      <x:c r="G1" s="100"/>
      <x:c r="H1" s="100"/>
      <x:c r="I1" s="100"/>
      <x:c r="J1" s="100"/>
      <x:c r="K1" s="100"/>
      <x:c r="L1" s="100"/>
      <x:c r="M1" s="100"/>
      <x:c r="N1" s="100"/>
    </x:row>
    <x:row r="2" ht="28" customHeight="1">
      <x:c r="A2" s="101" t="str">
        <x:v>Rótulos e documentos em PRODUCT ASSETS | Levantamento concluído em 2026-08-04</x:v>
      </x:c>
      <x:c r="B2" s="101"/>
      <x:c r="C2" s="101"/>
      <x:c r="D2" s="101"/>
      <x:c r="E2" s="101"/>
      <x:c r="F2" s="101"/>
      <x:c r="G2" s="101"/>
      <x:c r="H2" s="101"/>
      <x:c r="I2" s="101"/>
      <x:c r="J2" s="101"/>
      <x:c r="K2" s="101"/>
      <x:c r="L2" s="101"/>
      <x:c r="M2" s="101"/>
      <x:c r="N2" s="101"/>
    </x:row>
    <x:row r="3">
      <x:c r="A3" s="102"/>
      <x:c r="B3" s="102"/>
      <x:c r="C3" s="102"/>
      <x:c r="D3" s="102"/>
      <x:c r="E3" s="102"/>
      <x:c r="F3" s="102"/>
      <x:c r="G3" s="102"/>
      <x:c r="H3" s="102"/>
      <x:c r="I3" s="102"/>
      <x:c r="J3" s="102"/>
      <x:c r="K3" s="102"/>
      <x:c r="L3" s="102"/>
      <x:c r="M3" s="102"/>
      <x:c r="N3" s="102"/>
    </x:row>
    <x:row r="4">
      <x:c r="A4" s="103" t="str">
        <x:v>SKUs catalogados</x:v>
      </x:c>
      <x:c r="B4" s="104"/>
      <x:c r="C4" s="105"/>
      <x:c r="D4" s="102"/>
      <x:c r="E4" s="103" t="str">
        <x:v>Validades localizadas</x:v>
      </x:c>
      <x:c r="F4" s="104"/>
      <x:c r="G4" s="105"/>
      <x:c r="H4" s="102"/>
      <x:c r="I4" s="103" t="str">
        <x:v>Cobertura de validade</x:v>
      </x:c>
      <x:c r="J4" s="104"/>
      <x:c r="K4" s="105"/>
      <x:c r="L4" s="102"/>
      <x:c r="M4" s="103" t="str">
        <x:v>SKUs em HOLD</x:v>
      </x:c>
      <x:c r="N4" s="105"/>
    </x:row>
    <x:row r="5">
      <x:c r="A5" s="106" t="n">
        <x:f>COUNTA('Catálogo'!$B$5:$B$102)</x:f>
        <x:v>98</x:v>
      </x:c>
      <x:c r="B5" s="107"/>
      <x:c r="C5" s="108"/>
      <x:c r="D5" s="102"/>
      <x:c r="E5" s="106" t="n">
        <x:f>COUNT('Catálogo'!$H$5:$H$102)</x:f>
        <x:v>98</x:v>
      </x:c>
      <x:c r="F5" s="107"/>
      <x:c r="G5" s="108"/>
      <x:c r="H5" s="102"/>
      <x:c r="I5" s="109" t="n">
        <x:f>E5/A5</x:f>
        <x:v>1</x:v>
      </x:c>
      <x:c r="J5" s="110"/>
      <x:c r="K5" s="111"/>
      <x:c r="L5" s="102"/>
      <x:c r="M5" s="106" t="n">
        <x:f>COUNTIF('Catálogo'!$C$5:$C$102,"HOLD - NÃO IMPRIMIR")</x:f>
        <x:v>1</x:v>
      </x:c>
      <x:c r="N5" s="108"/>
    </x:row>
    <x:row r="6">
      <x:c r="A6" s="112"/>
      <x:c r="B6" s="113"/>
      <x:c r="C6" s="114"/>
      <x:c r="D6" s="102"/>
      <x:c r="E6" s="112"/>
      <x:c r="F6" s="113"/>
      <x:c r="G6" s="114"/>
      <x:c r="H6" s="102"/>
      <x:c r="I6" s="115"/>
      <x:c r="J6" s="116"/>
      <x:c r="K6" s="117"/>
      <x:c r="L6" s="102"/>
      <x:c r="M6" s="112"/>
      <x:c r="N6" s="114"/>
    </x:row>
    <x:row r="7">
      <x:c r="A7" s="102"/>
      <x:c r="B7" s="102"/>
      <x:c r="C7" s="102"/>
      <x:c r="D7" s="102"/>
      <x:c r="E7" s="102"/>
      <x:c r="F7" s="102"/>
      <x:c r="G7" s="102"/>
      <x:c r="H7" s="102"/>
      <x:c r="I7" s="102"/>
      <x:c r="J7" s="102"/>
      <x:c r="K7" s="102"/>
      <x:c r="L7" s="102"/>
      <x:c r="M7" s="102"/>
      <x:c r="N7" s="102"/>
    </x:row>
    <x:row r="8">
      <x:c r="A8" s="118" t="str">
        <x:v>Como interpretar este arquivo</x:v>
      </x:c>
      <x:c r="B8" s="118"/>
      <x:c r="C8" s="118"/>
      <x:c r="D8" s="118"/>
      <x:c r="E8" s="118"/>
      <x:c r="F8" s="118"/>
      <x:c r="G8" s="118"/>
      <x:c r="H8" s="118"/>
      <x:c r="I8" s="118"/>
      <x:c r="J8" s="118"/>
      <x:c r="K8" s="118"/>
      <x:c r="L8" s="118"/>
      <x:c r="M8" s="118"/>
      <x:c r="N8" s="118"/>
    </x:row>
    <x:row r="9" ht="30" customHeight="1">
      <x:c r="A9" s="72" t="str">
        <x:v>Validade = mês/ano explicitamente impresso no rótulo/arte atual; datas de modificação do arquivo não foram usadas.</x:v>
      </x:c>
      <x:c r="B9" s="73"/>
      <x:c r="C9" s="73"/>
      <x:c r="D9" s="73"/>
      <x:c r="E9" s="73"/>
      <x:c r="F9" s="73"/>
      <x:c r="G9" s="73"/>
      <x:c r="H9" s="73"/>
      <x:c r="I9" s="73"/>
      <x:c r="J9" s="73"/>
      <x:c r="K9" s="73"/>
      <x:c r="L9" s="73"/>
      <x:c r="M9" s="73"/>
      <x:c r="N9" s="74"/>
    </x:row>
    <x:row r="10" ht="30" customHeight="1">
      <x:c r="A10" s="83" t="str">
        <x:v>A aba Catálogo contém uma linha por SKU/variante, incluindo multipacks e o item marcado HOLD - NÃO IMPRIMIR.</x:v>
      </x:c>
      <x:c r="B10" s="84"/>
      <x:c r="C10" s="84"/>
      <x:c r="D10" s="84"/>
      <x:c r="E10" s="84"/>
      <x:c r="F10" s="84"/>
      <x:c r="G10" s="84"/>
      <x:c r="H10" s="84"/>
      <x:c r="I10" s="84"/>
      <x:c r="J10" s="84"/>
      <x:c r="K10" s="84"/>
      <x:c r="L10" s="84"/>
      <x:c r="M10" s="84"/>
      <x:c r="N10" s="85"/>
    </x:row>
    <x:row r="11" ht="30" customHeight="1">
      <x:c r="A11" s="72" t="str">
        <x:v>A aba Supplement Facts preserva os ingredientes, quantidades, outros ingredientes, modo de uso e a transcrição extraída.</x:v>
      </x:c>
      <x:c r="B11" s="73"/>
      <x:c r="C11" s="73"/>
      <x:c r="D11" s="73"/>
      <x:c r="E11" s="73"/>
      <x:c r="F11" s="73"/>
      <x:c r="G11" s="73"/>
      <x:c r="H11" s="73"/>
      <x:c r="I11" s="73"/>
      <x:c r="J11" s="73"/>
      <x:c r="K11" s="73"/>
      <x:c r="L11" s="73"/>
      <x:c r="M11" s="73"/>
      <x:c r="N11" s="74"/>
    </x:row>
    <x:row r="12" ht="30" customHeight="1">
      <x:c r="A12" s="83" t="str">
        <x:v>COAs de matéria-prima ficam em aba separada e não devem substituir a validade do suplemento acabado.</x:v>
      </x:c>
      <x:c r="B12" s="84"/>
      <x:c r="C12" s="84"/>
      <x:c r="D12" s="84"/>
      <x:c r="E12" s="84"/>
      <x:c r="F12" s="84"/>
      <x:c r="G12" s="84"/>
      <x:c r="H12" s="84"/>
      <x:c r="I12" s="84"/>
      <x:c r="J12" s="84"/>
      <x:c r="K12" s="84"/>
      <x:c r="L12" s="84"/>
      <x:c r="M12" s="84"/>
      <x:c r="N12" s="85"/>
    </x:row>
    <x:row r="13" ht="30" customHeight="1">
      <x:c r="A13" s="72" t="str">
        <x:v>Caminhos das fontes são relativos a D:\Google Drive Streaming\Shared drives\HealthFare\PRODUCT ASSETS.</x:v>
      </x:c>
      <x:c r="B13" s="73"/>
      <x:c r="C13" s="73"/>
      <x:c r="D13" s="73"/>
      <x:c r="E13" s="73"/>
      <x:c r="F13" s="73"/>
      <x:c r="G13" s="73"/>
      <x:c r="H13" s="73"/>
      <x:c r="I13" s="73"/>
      <x:c r="J13" s="73"/>
      <x:c r="K13" s="73"/>
      <x:c r="L13" s="73"/>
      <x:c r="M13" s="73"/>
      <x:c r="N13" s="74"/>
    </x:row>
    <x:row r="14" ht="30" customHeight="1">
      <x:c r="A14" s="83" t="str">
        <x:v>Lotes com confiança 'Média' vieram da ordem de texto vetorial do arquivo e devem ser confirmados visualmente antes de uso operacional.</x:v>
      </x:c>
      <x:c r="B14" s="84"/>
      <x:c r="C14" s="84"/>
      <x:c r="D14" s="84"/>
      <x:c r="E14" s="84"/>
      <x:c r="F14" s="84"/>
      <x:c r="G14" s="84"/>
      <x:c r="H14" s="84"/>
      <x:c r="I14" s="84"/>
      <x:c r="J14" s="84"/>
      <x:c r="K14" s="84"/>
      <x:c r="L14" s="84"/>
      <x:c r="M14" s="84"/>
      <x:c r="N14" s="85"/>
    </x:row>
    <x:row r="15">
      <x:c r="A15" s="102"/>
      <x:c r="B15" s="102"/>
      <x:c r="C15" s="102"/>
      <x:c r="D15" s="102"/>
      <x:c r="E15" s="102"/>
      <x:c r="F15" s="102"/>
      <x:c r="G15" s="102"/>
      <x:c r="H15" s="102"/>
      <x:c r="I15" s="102"/>
      <x:c r="J15" s="102"/>
      <x:c r="K15" s="102"/>
      <x:c r="L15" s="102"/>
      <x:c r="M15" s="102"/>
      <x:c r="N15" s="102"/>
    </x:row>
    <x:row r="16">
      <x:c r="A16" s="119" t="str">
        <x:v>Legenda de qualidade</x:v>
      </x:c>
      <x:c r="B16" s="119"/>
      <x:c r="C16" s="119"/>
      <x:c r="D16" s="119"/>
      <x:c r="E16" s="119"/>
      <x:c r="F16" s="119"/>
      <x:c r="G16" s="102"/>
      <x:c r="H16" s="102"/>
      <x:c r="I16" s="102"/>
      <x:c r="J16" s="102"/>
      <x:c r="K16" s="102"/>
      <x:c r="L16" s="102"/>
      <x:c r="M16" s="102"/>
      <x:c r="N16" s="102"/>
    </x:row>
    <x:row r="17" ht="26" customHeight="1">
      <x:c r="A17" s="120" t="str">
        <x:v>Sinal</x:v>
      </x:c>
      <x:c r="B17" s="121" t="str">
        <x:v>Significado</x:v>
      </x:c>
      <x:c r="C17" s="121"/>
      <x:c r="D17" s="121"/>
      <x:c r="E17" s="121"/>
      <x:c r="F17" s="122"/>
      <x:c r="G17" s="102"/>
      <x:c r="H17" s="102"/>
      <x:c r="I17" s="102"/>
      <x:c r="J17" s="102"/>
      <x:c r="K17" s="102"/>
      <x:c r="L17" s="102"/>
      <x:c r="M17" s="102"/>
      <x:c r="N17" s="102"/>
    </x:row>
    <x:row r="18" ht="36" customHeight="1">
      <x:c r="A18" s="123" t="str">
        <x:v>Alta</x:v>
      </x:c>
      <x:c r="B18" s="102" t="str">
        <x:v>Dado explícito no rótulo/arte atual</x:v>
      </x:c>
      <x:c r="C18" s="102"/>
      <x:c r="D18" s="102"/>
      <x:c r="E18" s="102"/>
      <x:c r="F18" s="124"/>
      <x:c r="G18" s="102"/>
      <x:c r="H18" s="102"/>
      <x:c r="I18" s="102"/>
      <x:c r="J18" s="102"/>
      <x:c r="K18" s="102"/>
      <x:c r="L18" s="102"/>
      <x:c r="M18" s="102"/>
      <x:c r="N18" s="102"/>
    </x:row>
    <x:row r="19" ht="36" customHeight="1">
      <x:c r="A19" s="125" t="str">
        <x:v>Média</x:v>
      </x:c>
      <x:c r="B19" s="102" t="str">
        <x:v>Extração vetorial; conferir visualmente antes de operação</x:v>
      </x:c>
      <x:c r="C19" s="102"/>
      <x:c r="D19" s="102"/>
      <x:c r="E19" s="102"/>
      <x:c r="F19" s="124"/>
      <x:c r="G19" s="102"/>
      <x:c r="H19" s="102"/>
      <x:c r="I19" s="102"/>
      <x:c r="J19" s="102"/>
      <x:c r="K19" s="102"/>
      <x:c r="L19" s="102"/>
      <x:c r="M19" s="102"/>
      <x:c r="N19" s="102"/>
    </x:row>
    <x:row r="20" ht="36" customHeight="1">
      <x:c r="A20" s="126" t="str">
        <x:v>HOLD</x:v>
      </x:c>
      <x:c r="B20" s="127" t="str">
        <x:v>Pasta marcada como NÃO IMPRIMIR</x:v>
      </x:c>
      <x:c r="C20" s="127"/>
      <x:c r="D20" s="127"/>
      <x:c r="E20" s="127"/>
      <x:c r="F20" s="128"/>
      <x:c r="G20" s="102"/>
      <x:c r="H20" s="102"/>
      <x:c r="I20" s="102"/>
      <x:c r="J20" s="102"/>
      <x:c r="K20" s="102"/>
      <x:c r="L20" s="102"/>
      <x:c r="M20" s="102"/>
      <x:c r="N20" s="102"/>
    </x:row>
  </x:sheetData>
  <x:mergeCells>
    <x:mergeCell ref="A1:N1"/>
    <x:mergeCell ref="A2:N2"/>
    <x:mergeCell ref="A4:C4"/>
    <x:mergeCell ref="A5:C6"/>
    <x:mergeCell ref="E4:G4"/>
    <x:mergeCell ref="E5:G6"/>
    <x:mergeCell ref="I4:K4"/>
    <x:mergeCell ref="I5:K6"/>
    <x:mergeCell ref="M4:N4"/>
    <x:mergeCell ref="M5:N6"/>
    <x:mergeCell ref="A8:N8"/>
    <x:mergeCell ref="A9:N9"/>
    <x:mergeCell ref="A10:N10"/>
    <x:mergeCell ref="A11:N11"/>
    <x:mergeCell ref="A12:N12"/>
    <x:mergeCell ref="A13:N13"/>
    <x:mergeCell ref="A14:N14"/>
    <x:mergeCell ref="A16:F16"/>
    <x:mergeCell ref="B17:F17"/>
    <x:mergeCell ref="B18:F18"/>
    <x:mergeCell ref="B19:F19"/>
    <x:mergeCell ref="B20:F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20" hidden="0" customWidth="1"/>
    <x:col min="4" max="4" width="22" hidden="0" customWidth="1"/>
    <x:col min="5" max="5" width="20" hidden="0" customWidth="1"/>
    <x:col min="6" max="6" width="13" hidden="0" customWidth="1"/>
    <x:col min="7" max="7" width="48" hidden="0" customWidth="1"/>
    <x:col min="8" max="8" width="12" hidden="0" customWidth="1"/>
    <x:col min="9" max="9" width="20" hidden="0" customWidth="1"/>
    <x:col min="10" max="10" width="28" hidden="0" customWidth="1"/>
    <x:col min="11" max="11" width="24" hidden="0" customWidth="1"/>
    <x:col min="12" max="12" width="62" hidden="0" customWidth="1"/>
    <x:col min="13" max="13" width="62" hidden="0" customWidth="1"/>
    <x:col min="14" max="14" width="44" hidden="0" customWidth="1"/>
  </x:cols>
  <x:sheetData>
    <x:row r="1" ht="34" customHeight="1">
      <x:c r="A1" s="3" t="str">
        <x:v>Catálogo de Suplementos e Validades</x:v>
      </x:c>
      <x:c r="B1" s="3"/>
      <x:c r="C1" s="3"/>
      <x:c r="D1" s="3"/>
      <x:c r="E1" s="3"/>
      <x:c r="F1" s="3"/>
      <x:c r="G1" s="3"/>
      <x:c r="H1" s="3"/>
      <x:c r="I1" s="3"/>
      <x:c r="J1" s="3"/>
      <x:c r="K1" s="3"/>
      <x:c r="L1" s="3"/>
      <x:c r="M1" s="3"/>
      <x:c r="N1" s="3"/>
    </x:row>
    <x:row r="2" ht="28" customHeight="1">
      <x:c r="A2" s="6" t="str">
        <x:v>Uma linha por SKU/variante. Consulte Supplement Facts para a transcrição completa de ativos e quantidades.</x:v>
      </x:c>
      <x:c r="B2" s="6"/>
      <x:c r="C2" s="6"/>
      <x:c r="D2" s="6"/>
      <x:c r="E2" s="6"/>
      <x:c r="F2" s="6"/>
      <x:c r="G2" s="6"/>
      <x:c r="H2" s="6"/>
      <x:c r="I2" s="6"/>
      <x:c r="J2" s="6"/>
      <x:c r="K2" s="6"/>
      <x:c r="L2" s="6"/>
      <x:c r="M2" s="6"/>
      <x:c r="N2" s="6"/>
    </x:row>
    <x:row r="4">
      <x:c r="A4" t="str">
        <x:v>Família</x:v>
      </x:c>
      <x:c r="B4" t="str">
        <x:v>Suplemento / SKU</x:v>
      </x:c>
      <x:c r="C4" t="str">
        <x:v>Status</x:v>
      </x:c>
      <x:c r="D4" t="str">
        <x:v>Conteúdo / embalagem</x:v>
      </x:c>
      <x:c r="E4" t="str">
        <x:v>Porção</x:v>
      </x:c>
      <x:c r="F4" t="str">
        <x:v>Porções / frasco</x:v>
      </x:c>
      <x:c r="G4" t="str">
        <x:v>Potência / ativos principais</x:v>
      </x:c>
      <x:c r="H4" t="str">
        <x:v>Validade</x:v>
      </x:c>
      <x:c r="I4" t="str">
        <x:v>Lote / Batch</x:v>
      </x:c>
      <x:c r="J4" t="str">
        <x:v>Confiança da validade</x:v>
      </x:c>
      <x:c r="K4" t="str">
        <x:v>Confiança do lote</x:v>
      </x:c>
      <x:c r="L4" t="str">
        <x:v>Fonte dos fatos</x:v>
      </x:c>
      <x:c r="M4" t="str">
        <x:v>Fonte da validade</x:v>
      </x:c>
      <x:c r="N4" t="str">
        <x:v>Observações</x:v>
      </x:c>
    </x:row>
    <x:row r="5" ht="58" customHeight="1">
      <x:c r="A5" s="131" t="str">
        <x:v>Activated Charcoal</x:v>
      </x:c>
      <x:c r="B5" s="131" t="str">
        <x:v>Activated Charcoal 1200mg 150caps</x:v>
      </x:c>
      <x:c r="C5" s="131" t="str">
        <x:v>Ativo</x:v>
      </x:c>
      <x:c r="D5" s="131" t="str">
        <x:v>150 caps</x:v>
      </x:c>
      <x:c r="E5" s="131" t="str">
        <x:v>2 Capsules</x:v>
      </x:c>
      <x:c r="F5" s="132" t="n">
        <x:v>75</x:v>
      </x:c>
      <x:c r="G5" s="131" t="str">
        <x:v>Activated Charcoal 1,200mg (1.2g)</x:v>
      </x:c>
      <x:c r="H5" s="133" t="n">
        <x:v>47150</x:v>
      </x:c>
      <x:c r="I5" s="131" t="str">
        <x:v>BR-2026-0199</x:v>
      </x:c>
      <x:c r="J5" s="131" t="str">
        <x:v>Alta - data explícita no rótulo</x:v>
      </x:c>
      <x:c r="K5" s="131" t="str">
        <x:v>Alta</x:v>
      </x:c>
      <x:c r="L5" s="131" t="str">
        <x:v>Activated Charcoal\Activated Charcoal 1200mg 150caps\Mockup &amp; Label\Activated Charcoal - Impressão.pdf</x:v>
      </x:c>
      <x:c r="M5" s="131" t="str">
        <x:v>Activated Charcoal\Activated Charcoal 1200mg 150caps\Mockup &amp; Label\Activated Charcoal - Impressão.pdf</x:v>
      </x:c>
      <x:c r="N5" s="131" t="str"/>
    </x:row>
    <x:row r="6" ht="58" customHeight="1">
      <x:c r="A6" s="131" t="str">
        <x:v>Activated Charcoal</x:v>
      </x:c>
      <x:c r="B6" s="131" t="str">
        <x:v>Activated Charcoal C2 1200mg 300caps (2 Bottles)</x:v>
      </x:c>
      <x:c r="C6" s="131" t="str">
        <x:v>Ativo / Multipack</x:v>
      </x:c>
      <x:c r="D6" s="131" t="str">
        <x:v>300 caps</x:v>
      </x:c>
      <x:c r="E6" s="131" t="str">
        <x:v>2 Capsules</x:v>
      </x:c>
      <x:c r="F6" s="132" t="n">
        <x:v>75</x:v>
      </x:c>
      <x:c r="G6" s="131" t="str">
        <x:v>Activated Charcoal 1,200mg (1.2g)</x:v>
      </x:c>
      <x:c r="H6" s="133" t="n">
        <x:v>47150</x:v>
      </x:c>
      <x:c r="I6" s="131" t="str">
        <x:v>2010-15015600</x:v>
      </x:c>
      <x:c r="J6" s="131" t="str">
        <x:v>Alta - data explícita no rótulo</x:v>
      </x:c>
      <x:c r="K6" s="131" t="str">
        <x:v>Média</x:v>
      </x:c>
      <x:c r="L6" s="131" t="str">
        <x:v>Activated Charcoal\Activated Charcoal C2 1200mg 300caps (2 Bottles)\Mockup &amp; Label\Activated Charcoal - Impressão.pdf</x:v>
      </x:c>
      <x:c r="M6" s="131" t="str">
        <x:v>Activated Charcoal\Activated Charcoal C2 1200mg 300caps (2 Bottles)\Mockup &amp; Label\Activated Charcoal - Impressão.pdf</x:v>
      </x:c>
      <x:c r="N6" s="131" t="str">
        <x:v>Lote extraído de texto vetorial; confirmar visualmente antes de uso operacional.</x:v>
      </x:c>
    </x:row>
    <x:row r="7" ht="58" customHeight="1">
      <x:c r="A7" s="131" t="str">
        <x:v>Akkermansia</x:v>
      </x:c>
      <x:c r="B7" s="131" t="str">
        <x:v>Akkermansia</x:v>
      </x:c>
      <x:c r="C7" s="131" t="str">
        <x:v>Ativo</x:v>
      </x:c>
      <x:c r="D7" s="131" t="str">
        <x:v>90 CAPS</x:v>
      </x:c>
      <x:c r="E7" s="131" t="str">
        <x:v>1 Capsule</x:v>
      </x:c>
      <x:c r="F7" s="132" t="n">
        <x:v>90</x:v>
      </x:c>
      <x:c r="G7" s="131" t="str">
        <x:v>400mg *</x:v>
      </x:c>
      <x:c r="H7" s="133" t="n">
        <x:v>47300</x:v>
      </x:c>
      <x:c r="I7" s="131" t="str">
        <x:v>96446592</x:v>
      </x:c>
      <x:c r="J7" s="131" t="str">
        <x:v>Alta - data explícita no rótulo</x:v>
      </x:c>
      <x:c r="K7" s="131" t="str">
        <x:v>Média</x:v>
      </x:c>
      <x:c r="L7" s="131" t="str">
        <x:v>Akkermansia\Mockup &amp; Label\Akkermansia - Impressão.pdf</x:v>
      </x:c>
      <x:c r="M7" s="131" t="str">
        <x:v>Akkermansia\Mockup &amp; Label\Akkermansia - Impressão.pdf</x:v>
      </x:c>
      <x:c r="N7" s="131" t="str">
        <x:v>Lote extraído de texto vetorial; confirmar visualmente antes de uso operacional.</x:v>
      </x:c>
    </x:row>
    <x:row r="8" ht="58" customHeight="1">
      <x:c r="A8" s="131" t="str">
        <x:v>Aloe Vera</x:v>
      </x:c>
      <x:c r="B8" s="131" t="str">
        <x:v>Aloe Vera</x:v>
      </x:c>
      <x:c r="C8" s="131" t="str">
        <x:v>Ativo</x:v>
      </x:c>
      <x:c r="D8" s="131" t="str">
        <x:v>60 CAPS</x:v>
      </x:c>
      <x:c r="E8" s="131" t="str">
        <x:v>2 Capsules</x:v>
      </x:c>
      <x:c r="F8" s="132" t="n">
        <x:v>30</x:v>
      </x:c>
      <x:c r="G8" s="131" t="str">
        <x:v>** (100:1 extract, equivalent to 40,000mg of raw
400mg (0.4g) *</x:v>
      </x:c>
      <x:c r="H8" s="133" t="n">
        <x:v>47300</x:v>
      </x:c>
      <x:c r="I8" s="131" t="str">
        <x:v>0000-0000000</x:v>
      </x:c>
      <x:c r="J8" s="131" t="str">
        <x:v>Alta - data explícita no rótulo</x:v>
      </x:c>
      <x:c r="K8" s="131" t="str">
        <x:v>Média</x:v>
      </x:c>
      <x:c r="L8" s="131" t="str">
        <x:v>Aloe Vera\Mockup &amp; Label\Aloe Vera - Impressão.pdf</x:v>
      </x:c>
      <x:c r="M8" s="131" t="str">
        <x:v>Aloe Vera\Mockup &amp; Label\Aloe Vera - Impressão.pdf</x:v>
      </x:c>
      <x:c r="N8" s="131" t="str">
        <x:v>Lote extraído de texto vetorial; confirmar visualmente antes de uso operacional.</x:v>
      </x:c>
    </x:row>
    <x:row r="9" ht="58" customHeight="1">
      <x:c r="A9" s="131" t="str">
        <x:v>Apple Cider Vinegar</x:v>
      </x:c>
      <x:c r="B9" s="131" t="str">
        <x:v>Apple Cider Vinegar</x:v>
      </x:c>
      <x:c r="C9" s="131" t="str">
        <x:v>Ativo</x:v>
      </x:c>
      <x:c r="D9" s="131" t="str">
        <x:v>150 CAPS</x:v>
      </x:c>
      <x:c r="E9" s="131" t="str">
        <x:v>3 Capsules</x:v>
      </x:c>
      <x:c r="F9" s="132" t="n">
        <x:v>50</x:v>
      </x:c>
      <x:c r="G9" s="131" t="str">
        <x:v>(4:1extract, equivalent to 3,200mg of raw
3,200mg (0.06g) *</x:v>
      </x:c>
      <x:c r="H9" s="133" t="n">
        <x:v>47270</x:v>
      </x:c>
      <x:c r="I9" s="131" t="str">
        <x:v>BR-2026-0301</x:v>
      </x:c>
      <x:c r="J9" s="131" t="str">
        <x:v>Alta - data explícita no rótulo</x:v>
      </x:c>
      <x:c r="K9" s="131" t="str">
        <x:v>Alta</x:v>
      </x:c>
      <x:c r="L9" s="131" t="str">
        <x:v>Apple Cider Vinegar\Mockup &amp; Label\Apple Cider Vinegar - Impressão.pdf</x:v>
      </x:c>
      <x:c r="M9" s="131" t="str">
        <x:v>Apple Cider Vinegar\Mockup &amp; Label\Apple Cider Vinegar - Impressão.pdf</x:v>
      </x:c>
      <x:c r="N9" s="131" t="str"/>
    </x:row>
    <x:row r="10" ht="58" customHeight="1">
      <x:c r="A10" s="131" t="str">
        <x:v>Ashwagandha 500mg 120caps</x:v>
      </x:c>
      <x:c r="B10" s="131" t="str">
        <x:v>Ashwagandha 500mg 120caps</x:v>
      </x:c>
      <x:c r="C10" s="131" t="str">
        <x:v>Ativo</x:v>
      </x:c>
      <x:c r="D10" s="131" t="str">
        <x:v>120 caps</x:v>
      </x:c>
      <x:c r="E10" s="131" t="str">
        <x:v>2 Capsules</x:v>
      </x:c>
      <x:c r="F10" s="132" t="n">
        <x:v>60</x:v>
      </x:c>
      <x:c r="G10" s="131" t="str">
        <x:v>**(10:1 extract, equivalent to 500mg of raw
50mg (0.05g) *</x:v>
      </x:c>
      <x:c r="H10" s="133" t="n">
        <x:v>47300</x:v>
      </x:c>
      <x:c r="I10" s="131" t="str">
        <x:v>BR-2026-0193</x:v>
      </x:c>
      <x:c r="J10" s="131" t="str">
        <x:v>Alta - data explícita no rótulo</x:v>
      </x:c>
      <x:c r="K10" s="131" t="str">
        <x:v>Alta</x:v>
      </x:c>
      <x:c r="L10" s="131" t="str">
        <x:v>Ashwagandha 500mg 120caps\Mockup &amp; Label\Ashwagandha - Impressão.pdf</x:v>
      </x:c>
      <x:c r="M10" s="131" t="str">
        <x:v>Ashwagandha 500mg 120caps\Mockup &amp; Label\Ashwagandha - Impressão.pdf</x:v>
      </x:c>
      <x:c r="N10" s="131" t="str"/>
    </x:row>
    <x:row r="11" ht="58" customHeight="1">
      <x:c r="A11" s="131" t="str">
        <x:v>Banaba Leaf</x:v>
      </x:c>
      <x:c r="B11" s="131" t="str">
        <x:v>Banaba Leaf</x:v>
      </x:c>
      <x:c r="C11" s="131" t="str">
        <x:v>Ativo</x:v>
      </x:c>
      <x:c r="D11" s="131" t="str">
        <x:v>90 CAPS</x:v>
      </x:c>
      <x:c r="E11" s="131" t="str">
        <x:v>2 Capsules</x:v>
      </x:c>
      <x:c r="F11" s="132" t="n">
        <x:v>45</x:v>
      </x:c>
      <x:c r="G11" s="131" t="str">
        <x:v>** (20:1 extract, equivalent to 3,000mg of raw
150mg (0.15g) *</x:v>
      </x:c>
      <x:c r="H11" s="133" t="n">
        <x:v>47300</x:v>
      </x:c>
      <x:c r="I11" s="131" t="str">
        <x:v>05202496</x:v>
      </x:c>
      <x:c r="J11" s="131" t="str">
        <x:v>Alta - data explícita no rótulo</x:v>
      </x:c>
      <x:c r="K11" s="131" t="str">
        <x:v>Média</x:v>
      </x:c>
      <x:c r="L11" s="131" t="str">
        <x:v>Banaba Leaf\Mockup &amp; Label\Banaba Leaf - Impressão.pdf</x:v>
      </x:c>
      <x:c r="M11" s="131" t="str">
        <x:v>Banaba Leaf\Mockup &amp; Label\Banaba Leaf - Impressão.pdf</x:v>
      </x:c>
      <x:c r="N11" s="131" t="str">
        <x:v>Lote extraído de texto vetorial; confirmar visualmente antes de uso operacional.</x:v>
      </x:c>
    </x:row>
    <x:row r="12" ht="58" customHeight="1">
      <x:c r="A12" s="131" t="str">
        <x:v>Beet Root</x:v>
      </x:c>
      <x:c r="B12" s="131" t="str">
        <x:v>Beet Root 2000mg - 60 Capsulas</x:v>
      </x:c>
      <x:c r="C12" s="131" t="str">
        <x:v>Ativo</x:v>
      </x:c>
      <x:c r="D12" s="131" t="str">
        <x:v>60 Capsulas</x:v>
      </x:c>
      <x:c r="E12" s="131" t="str">
        <x:v>2 Capsules</x:v>
      </x:c>
      <x:c r="F12" s="132" t="n">
        <x:v>30</x:v>
      </x:c>
      <x:c r="G12" s="131" t="str">
        <x:v>2.000mg (2g) *
(10:1 extract, equivalent to 2,000mg of raw</x:v>
      </x:c>
      <x:c r="H12" s="133" t="n">
        <x:v>47209</x:v>
      </x:c>
      <x:c r="I12" s="131" t="str">
        <x:v>04202471</x:v>
      </x:c>
      <x:c r="J12" s="131" t="str">
        <x:v>Alta - data explícita no rótulo</x:v>
      </x:c>
      <x:c r="K12" s="131" t="str">
        <x:v>Média</x:v>
      </x:c>
      <x:c r="L12" s="131" t="str">
        <x:v>Beet Root\Beet Root 2000mg - 60 Capsulas\Mockup &amp; Label\Beet Root - Impressão.pdf</x:v>
      </x:c>
      <x:c r="M12" s="131" t="str">
        <x:v>Beet Root\Beet Root 2000mg - 60 Capsulas\Mockup &amp; Label\Beet Root - Impressão.pdf</x:v>
      </x:c>
      <x:c r="N12" s="131" t="str">
        <x:v>Lote extraído de texto vetorial; confirmar visualmente antes de uso operacional.</x:v>
      </x:c>
    </x:row>
    <x:row r="13" ht="58" customHeight="1">
      <x:c r="A13" s="131" t="str">
        <x:v>Benfotiamine</x:v>
      </x:c>
      <x:c r="B13" s="131" t="str">
        <x:v>Benfotiamine 300mg 200caps</x:v>
      </x:c>
      <x:c r="C13" s="131" t="str">
        <x:v>Ativo</x:v>
      </x:c>
      <x:c r="D13" s="131" t="str">
        <x:v>200 caps</x:v>
      </x:c>
      <x:c r="E13" s="131" t="str">
        <x:v>1 Capsule</x:v>
      </x:c>
      <x:c r="F13" s="132" t="n">
        <x:v>200</x:v>
      </x:c>
      <x:c r="G13" s="131" t="str">
        <x:v>Benfotiamine 300mg (0.3g) *</x:v>
      </x:c>
      <x:c r="H13" s="133" t="n">
        <x:v>47300</x:v>
      </x:c>
      <x:c r="I13" s="131" t="str">
        <x:v>BR-2026-0212</x:v>
      </x:c>
      <x:c r="J13" s="131" t="str">
        <x:v>Alta - data explícita no rótulo</x:v>
      </x:c>
      <x:c r="K13" s="131" t="str">
        <x:v>Alta</x:v>
      </x:c>
      <x:c r="L13" s="131" t="str">
        <x:v>Benfotiamine\Benfotiamine 300mg 200caps\Mockup &amp; Label\Benfotiamine - 300 - Impressão.pdf</x:v>
      </x:c>
      <x:c r="M13" s="131" t="str">
        <x:v>Benfotiamine\Benfotiamine 300mg 200caps\Mockup &amp; Label\Benfotiamine - 300 - Impressão.pdf</x:v>
      </x:c>
      <x:c r="N13" s="131" t="str"/>
    </x:row>
    <x:row r="14" ht="58" customHeight="1">
      <x:c r="A14" s="131" t="str">
        <x:v>Benfotiamine</x:v>
      </x:c>
      <x:c r="B14" s="131" t="str">
        <x:v>Benfotiamine 300mg C2 400caps (2 Bottles)</x:v>
      </x:c>
      <x:c r="C14" s="131" t="str">
        <x:v>Ativo / Multipack</x:v>
      </x:c>
      <x:c r="D14" s="131" t="str">
        <x:v>400 caps</x:v>
      </x:c>
      <x:c r="E14" s="131" t="str">
        <x:v>1 Capsule</x:v>
      </x:c>
      <x:c r="F14" s="132" t="n">
        <x:v>200</x:v>
      </x:c>
      <x:c r="G14" s="131" t="str">
        <x:v>Benfotiamine 300mg (0.3g) *</x:v>
      </x:c>
      <x:c r="H14" s="133" t="n">
        <x:v>47300</x:v>
      </x:c>
      <x:c r="I14" s="131" t="str">
        <x:v>BR-2026-0212</x:v>
      </x:c>
      <x:c r="J14" s="131" t="str">
        <x:v>Alta - data explícita no rótulo</x:v>
      </x:c>
      <x:c r="K14" s="131" t="str">
        <x:v>Alta</x:v>
      </x:c>
      <x:c r="L14" s="131" t="str">
        <x:v>Benfotiamine\Benfotiamine 300mg C2 400caps (2 Bottles)\Mockup &amp; Label\Benfotiamine - 300 - Impressão.pdf</x:v>
      </x:c>
      <x:c r="M14" s="131" t="str">
        <x:v>Benfotiamine\Benfotiamine 300mg C2 400caps (2 Bottles)\Mockup &amp; Label\Benfotiamine - 300 - Impressão.pdf</x:v>
      </x:c>
      <x:c r="N14" s="131" t="str"/>
    </x:row>
    <x:row r="15" ht="58" customHeight="1">
      <x:c r="A15" s="131" t="str">
        <x:v>Benfotiamine</x:v>
      </x:c>
      <x:c r="B15" s="131" t="str">
        <x:v>Benfotiamine 600mg 200caps</x:v>
      </x:c>
      <x:c r="C15" s="131" t="str">
        <x:v>Ativo</x:v>
      </x:c>
      <x:c r="D15" s="131" t="str">
        <x:v>200 caps</x:v>
      </x:c>
      <x:c r="E15" s="131" t="str">
        <x:v>2 Capsules</x:v>
      </x:c>
      <x:c r="F15" s="132" t="n">
        <x:v>100</x:v>
      </x:c>
      <x:c r="G15" s="131" t="str">
        <x:v>Benfotiamine 600mg (0.6g) *</x:v>
      </x:c>
      <x:c r="H15" s="133" t="n">
        <x:v>47300</x:v>
      </x:c>
      <x:c r="I15" s="131" t="str">
        <x:v>BR-2026-0144</x:v>
      </x:c>
      <x:c r="J15" s="131" t="str">
        <x:v>Alta - data explícita no rótulo</x:v>
      </x:c>
      <x:c r="K15" s="131" t="str">
        <x:v>Alta</x:v>
      </x:c>
      <x:c r="L15" s="131" t="str">
        <x:v>Benfotiamine\Benfotiamine 600mg 200caps\Mockup &amp; Label\Benfotiamine - 600 - Impressão.pdf</x:v>
      </x:c>
      <x:c r="M15" s="131" t="str">
        <x:v>Benfotiamine\Benfotiamine 600mg 200caps\Mockup &amp; Label\Benfotiamine - 600 - Impressão.pdf</x:v>
      </x:c>
      <x:c r="N15" s="131" t="str"/>
    </x:row>
    <x:row r="16" ht="58" customHeight="1">
      <x:c r="A16" s="131" t="str">
        <x:v>Berberine</x:v>
      </x:c>
      <x:c r="B16" s="131" t="str">
        <x:v>Berberine 2500mg 60caps</x:v>
      </x:c>
      <x:c r="C16" s="131" t="str">
        <x:v>Ativo</x:v>
      </x:c>
      <x:c r="D16" s="131" t="str">
        <x:v>60 caps</x:v>
      </x:c>
      <x:c r="E16" s="131" t="str">
        <x:v>1 Capsule</x:v>
      </x:c>
      <x:c r="F16" s="132" t="n">
        <x:v>60</x:v>
      </x:c>
      <x:c r="G16" s="131" t="str">
        <x:v>** (10:1 extract, equivalent to 1.500mg of raw
** (10:1 extract, equivalent to 1.000mg of raw</x:v>
      </x:c>
      <x:c r="H16" s="133" t="n">
        <x:v>47270</x:v>
      </x:c>
      <x:c r="I16" s="131" t="str">
        <x:v>BR-2026-0270</x:v>
      </x:c>
      <x:c r="J16" s="131" t="str">
        <x:v>Alta - data explícita no rótulo</x:v>
      </x:c>
      <x:c r="K16" s="131" t="str">
        <x:v>Alta</x:v>
      </x:c>
      <x:c r="L16" s="131" t="str">
        <x:v>Berberine\Berberine 2500mg 60caps\Mockup &amp; Label\Berberine 2500mg - Impressão.pdf</x:v>
      </x:c>
      <x:c r="M16" s="131" t="str">
        <x:v>Berberine\Berberine 2500mg 60caps\Mockup &amp; Label\Berberine 2500mg - Impressão.pdf</x:v>
      </x:c>
      <x:c r="N16" s="131" t="str"/>
    </x:row>
    <x:row r="17" ht="58" customHeight="1">
      <x:c r="A17" s="131" t="str">
        <x:v>Berberine</x:v>
      </x:c>
      <x:c r="B17" s="131" t="str">
        <x:v>Berberine 6000mg 150caps</x:v>
      </x:c>
      <x:c r="C17" s="131" t="str">
        <x:v>Ativo</x:v>
      </x:c>
      <x:c r="D17" s="131" t="str">
        <x:v>150 caps</x:v>
      </x:c>
      <x:c r="E17" s="131" t="str">
        <x:v>1 Capsule</x:v>
      </x:c>
      <x:c r="F17" s="132" t="n">
        <x:v>150</x:v>
      </x:c>
      <x:c r="G17" s="131" t="str">
        <x:v>** (50:1 extract, equivalent to 5,000mg of raw
100mg (0.10g) *
20mg (0.02g) *
(+ 1 itens na aba Supplement Facts)</x:v>
      </x:c>
      <x:c r="H17" s="133" t="n">
        <x:v>47270</x:v>
      </x:c>
      <x:c r="I17" s="131" t="str">
        <x:v>BR-2026-0273</x:v>
      </x:c>
      <x:c r="J17" s="131" t="str">
        <x:v>Alta - data explícita no rótulo</x:v>
      </x:c>
      <x:c r="K17" s="131" t="str">
        <x:v>Média</x:v>
      </x:c>
      <x:c r="L17" s="131" t="str">
        <x:v>Berberine\Berberine 6000mg 150caps\Mockup &amp; Label\Berberine - Impressão.pdf</x:v>
      </x:c>
      <x:c r="M17" s="131" t="str">
        <x:v>Berberine\Berberine 6000mg 150caps\Mockup &amp; Label\Berberine - Impressão.pdf</x:v>
      </x:c>
      <x:c r="N17" s="131" t="str">
        <x:v>Lote extraído de texto vetorial; confirmar visualmente antes de uso operacional.</x:v>
      </x:c>
    </x:row>
    <x:row r="18" ht="58" customHeight="1">
      <x:c r="A18" s="131" t="str">
        <x:v>Berberine</x:v>
      </x:c>
      <x:c r="B18" s="131" t="str">
        <x:v>Berberine HCL 5000mg 120caps</x:v>
      </x:c>
      <x:c r="C18" s="131" t="str">
        <x:v>Ativo</x:v>
      </x:c>
      <x:c r="D18" s="131" t="str">
        <x:v>120 caps</x:v>
      </x:c>
      <x:c r="E18" s="131" t="str">
        <x:v>2 Capsules</x:v>
      </x:c>
      <x:c r="F18" s="132" t="n">
        <x:v>60</x:v>
      </x:c>
      <x:c r="G18" s="131" t="str">
        <x:v>(50:1 extract, 100mg equivalent to 5,000mg of raw Berberine HCL)
5000mg (5g) *</x:v>
      </x:c>
      <x:c r="H18" s="133" t="n">
        <x:v>47270</x:v>
      </x:c>
      <x:c r="I18" s="131" t="str">
        <x:v>BR-2026-0203</x:v>
      </x:c>
      <x:c r="J18" s="131" t="str">
        <x:v>Alta - data explícita no rótulo</x:v>
      </x:c>
      <x:c r="K18" s="131" t="str">
        <x:v>Média</x:v>
      </x:c>
      <x:c r="L18" s="131" t="str">
        <x:v>Berberine\Berberine HCL 5000mg 120caps\Mockup &amp; Label\Berberine hcl 5000mg 120 Capsules - Padrão.pdf</x:v>
      </x:c>
      <x:c r="M18" s="131" t="str">
        <x:v>Berberine\Berberine HCL 5000mg 120caps\Mockup &amp; Label\Berberine hcl 5000mg 120 Capsules - Padrão.pdf</x:v>
      </x:c>
      <x:c r="N18" s="131" t="str">
        <x:v>Lote extraído de texto vetorial; confirmar visualmente antes de uso operacional.</x:v>
      </x:c>
    </x:row>
    <x:row r="19" ht="58" customHeight="1">
      <x:c r="A19" s="131" t="str">
        <x:v>Bilberry</x:v>
      </x:c>
      <x:c r="B19" s="131" t="str">
        <x:v>Bilberry</x:v>
      </x:c>
      <x:c r="C19" s="131" t="str">
        <x:v>Ativo</x:v>
      </x:c>
      <x:c r="D19" s="131" t="str">
        <x:v>200 CAPS</x:v>
      </x:c>
      <x:c r="E19" s="131" t="str">
        <x:v>3 Capsules</x:v>
      </x:c>
      <x:c r="F19" s="132" t="n">
        <x:v>66</x:v>
      </x:c>
      <x:c r="G19" s="131" t="str">
        <x:v>Bilberry Extract 1,250mg (1.2g) *
** (4:1 extract, equivalent to 5,000mg of raw</x:v>
      </x:c>
      <x:c r="H19" s="133" t="n">
        <x:v>47453</x:v>
      </x:c>
      <x:c r="I19" s="131" t="str">
        <x:v>BR-2026-0286</x:v>
      </x:c>
      <x:c r="J19" s="131" t="str">
        <x:v>Alta - data explícita no rótulo</x:v>
      </x:c>
      <x:c r="K19" s="131" t="str">
        <x:v>Alta</x:v>
      </x:c>
      <x:c r="L19" s="131" t="str">
        <x:v>Bilberry\Mockup &amp; Label\Bilberry - Impressão.pdf</x:v>
      </x:c>
      <x:c r="M19" s="131" t="str">
        <x:v>Bilberry\Mockup &amp; Label\Bilberry - Impressão.pdf</x:v>
      </x:c>
      <x:c r="N19" s="131" t="str"/>
    </x:row>
    <x:row r="20" ht="58" customHeight="1">
      <x:c r="A20" s="131" t="str">
        <x:v>Bitter Melon</x:v>
      </x:c>
      <x:c r="B20" s="131" t="str">
        <x:v>Bitter Melon</x:v>
      </x:c>
      <x:c r="C20" s="131" t="str">
        <x:v>Ativo</x:v>
      </x:c>
      <x:c r="D20" s="131" t="str">
        <x:v>200 CAPS</x:v>
      </x:c>
      <x:c r="E20" s="131" t="str">
        <x:v>3 Capsules</x:v>
      </x:c>
      <x:c r="F20" s="132" t="n">
        <x:v>66</x:v>
      </x:c>
      <x:c r="G20" s="131" t="str">
        <x:v>** (10:1 extract, equivalent to 9,500mg of raw
950mg (0.95g) *</x:v>
      </x:c>
      <x:c r="H20" s="133" t="n">
        <x:v>47178</x:v>
      </x:c>
      <x:c r="I20" s="131" t="str">
        <x:v>BR-2026-0252</x:v>
      </x:c>
      <x:c r="J20" s="131" t="str">
        <x:v>Alta - data explícita no rótulo</x:v>
      </x:c>
      <x:c r="K20" s="131" t="str">
        <x:v>Alta</x:v>
      </x:c>
      <x:c r="L20" s="131" t="str">
        <x:v>Bitter Melon\Mockup &amp; Label\Bitter Melon - Impressão.pdf</x:v>
      </x:c>
      <x:c r="M20" s="131" t="str">
        <x:v>Bitter Melon\Mockup &amp; Label\Bitter Melon - Impressão.pdf</x:v>
      </x:c>
      <x:c r="N20" s="131" t="str"/>
    </x:row>
    <x:row r="21" ht="58" customHeight="1">
      <x:c r="A21" s="131" t="str">
        <x:v>Black Garlic</x:v>
      </x:c>
      <x:c r="B21" s="131" t="str">
        <x:v>Black Garlic 2000mg 90caps</x:v>
      </x:c>
      <x:c r="C21" s="131" t="str">
        <x:v>Ativo</x:v>
      </x:c>
      <x:c r="D21" s="131" t="str">
        <x:v>90 caps</x:v>
      </x:c>
      <x:c r="E21" s="131" t="str">
        <x:v>1 Capsule</x:v>
      </x:c>
      <x:c r="F21" s="132" t="n">
        <x:v>90</x:v>
      </x:c>
      <x:c r="G21" s="131" t="str">
        <x:v>(10:1 extract, equivalent to 2,000mg of raw
200mg (0.2g) *</x:v>
      </x:c>
      <x:c r="H21" s="133" t="n">
        <x:v>47209</x:v>
      </x:c>
      <x:c r="I21" s="131" t="str">
        <x:v>BR-2026-0296</x:v>
      </x:c>
      <x:c r="J21" s="131" t="str">
        <x:v>Alta - data explícita no rótulo</x:v>
      </x:c>
      <x:c r="K21" s="131" t="str">
        <x:v>Alta</x:v>
      </x:c>
      <x:c r="L21" s="131" t="str">
        <x:v>Black Garlic\Black Garlic 2000mg 90caps\Mockup &amp; Label\Black Garlic - Impressão.pdf</x:v>
      </x:c>
      <x:c r="M21" s="131" t="str">
        <x:v>Black Garlic\Black Garlic 2000mg 90caps\Mockup &amp; Label\Black Garlic - Impressão.pdf</x:v>
      </x:c>
      <x:c r="N21" s="131" t="str"/>
    </x:row>
    <x:row r="22" ht="58" customHeight="1">
      <x:c r="A22" s="131" t="str">
        <x:v>Black Garlic</x:v>
      </x:c>
      <x:c r="B22" s="131" t="str">
        <x:v>Black Garlic C2 2000mg 180caps (2 Bottles)</x:v>
      </x:c>
      <x:c r="C22" s="131" t="str">
        <x:v>Ativo / Multipack</x:v>
      </x:c>
      <x:c r="D22" s="131" t="str">
        <x:v>180 caps</x:v>
      </x:c>
      <x:c r="E22" s="131" t="str">
        <x:v>1 Capsule</x:v>
      </x:c>
      <x:c r="F22" s="132" t="n">
        <x:v>90</x:v>
      </x:c>
      <x:c r="G22" s="131" t="str">
        <x:v>(10:1 extract, equivalent to 2,000mg of raw
200mg (0.2g) *</x:v>
      </x:c>
      <x:c r="H22" s="133" t="n">
        <x:v>47209</x:v>
      </x:c>
      <x:c r="I22" s="131" t="str">
        <x:v>BR-2026-0226</x:v>
      </x:c>
      <x:c r="J22" s="131" t="str">
        <x:v>Alta - data explícita no rótulo</x:v>
      </x:c>
      <x:c r="K22" s="131" t="str">
        <x:v>Alta</x:v>
      </x:c>
      <x:c r="L22" s="131" t="str">
        <x:v>Black Garlic\Black Garlic C2 2000mg 180caps (2 Bottles)\Mockup &amp; Label\Black Garlic - Impressão.pdf</x:v>
      </x:c>
      <x:c r="M22" s="131" t="str">
        <x:v>Black Garlic\Black Garlic C2 2000mg 180caps (2 Bottles)\Mockup &amp; Label\Black Garlic - Impressão.pdf</x:v>
      </x:c>
      <x:c r="N22" s="131" t="str"/>
    </x:row>
    <x:row r="23" ht="58" customHeight="1">
      <x:c r="A23" s="131" t="str">
        <x:v>Butchers Broom</x:v>
      </x:c>
      <x:c r="B23" s="131" t="str">
        <x:v>Butchers Broom</x:v>
      </x:c>
      <x:c r="C23" s="131" t="str">
        <x:v>Ativo</x:v>
      </x:c>
      <x:c r="D23" s="131" t="str">
        <x:v>120 CAPS</x:v>
      </x:c>
      <x:c r="E23" s="131" t="str">
        <x:v>3 Capsules</x:v>
      </x:c>
      <x:c r="F23" s="132" t="n">
        <x:v>40</x:v>
      </x:c>
      <x:c r="G23" s="131" t="str">
        <x:v>Butcher’s Broom Extract 600mg (0.6g) *
(4:1 extract, equivalent to 2,400mg of raw</x:v>
      </x:c>
      <x:c r="H23" s="133" t="n">
        <x:v>47453</x:v>
      </x:c>
      <x:c r="I23" s="131" t="str">
        <x:v>BR-2026-0220</x:v>
      </x:c>
      <x:c r="J23" s="131" t="str">
        <x:v>Alta - data explícita no rótulo</x:v>
      </x:c>
      <x:c r="K23" s="131" t="str">
        <x:v>Média</x:v>
      </x:c>
      <x:c r="L23" s="131" t="str">
        <x:v>Butchers Broom\Mockup &amp; Label\Butchers Broom - Impressão.pdf</x:v>
      </x:c>
      <x:c r="M23" s="131" t="str">
        <x:v>Butchers Broom\Mockup &amp; Label\Butchers Broom - Impressão.pdf</x:v>
      </x:c>
      <x:c r="N23" s="131" t="str">
        <x:v>Lote extraído de texto vetorial; confirmar visualmente antes de uso operacional.</x:v>
      </x:c>
    </x:row>
    <x:row r="24" ht="58" customHeight="1">
      <x:c r="A24" s="131" t="str">
        <x:v>Cayenne Pepper</x:v>
      </x:c>
      <x:c r="B24" s="131" t="str">
        <x:v>Cayenne Pepper</x:v>
      </x:c>
      <x:c r="C24" s="131" t="str">
        <x:v>Ativo</x:v>
      </x:c>
      <x:c r="D24" s="131" t="str">
        <x:v>200 capsules (derivado de porção x porções)</x:v>
      </x:c>
      <x:c r="E24" s="131" t="str">
        <x:v>2 Capsules</x:v>
      </x:c>
      <x:c r="F24" s="132" t="n">
        <x:v>100</x:v>
      </x:c>
      <x:c r="G24" s="131" t="str">
        <x:v>** (10:1 extract, equivalent to 600mg of raw
60mg (0.06g) *</x:v>
      </x:c>
      <x:c r="H24" s="133" t="n">
        <x:v>47300</x:v>
      </x:c>
      <x:c r="I24" s="131" t="str">
        <x:v>BR-2026-0149</x:v>
      </x:c>
      <x:c r="J24" s="131" t="str">
        <x:v>Alta - data explícita no rótulo</x:v>
      </x:c>
      <x:c r="K24" s="131" t="str">
        <x:v>Alta</x:v>
      </x:c>
      <x:c r="L24" s="131" t="str">
        <x:v>Cayenne Pepper\Mockup &amp; Label\Cayenne Pepper - Impressão.pdf</x:v>
      </x:c>
      <x:c r="M24" s="131" t="str">
        <x:v>Cayenne Pepper\Mockup &amp; Label\Cayenne Pepper - Impressão.pdf</x:v>
      </x:c>
      <x:c r="N24" s="131" t="str">
        <x:v>Conteúdo calculado como porção x porções por frasco.</x:v>
      </x:c>
    </x:row>
    <x:row r="25" ht="58" customHeight="1">
      <x:c r="A25" s="131" t="str">
        <x:v>Chinese Skullcap</x:v>
      </x:c>
      <x:c r="B25" s="131" t="str">
        <x:v>Chinese Skullcap</x:v>
      </x:c>
      <x:c r="C25" s="131" t="str">
        <x:v>Ativo</x:v>
      </x:c>
      <x:c r="D25" s="131" t="str">
        <x:v>200 CAPS</x:v>
      </x:c>
      <x:c r="E25" s="131" t="str">
        <x:v>1 Capsule</x:v>
      </x:c>
      <x:c r="F25" s="132" t="n">
        <x:v>200</x:v>
      </x:c>
      <x:c r="G25" s="131" t="str">
        <x:v>Chinese Skullcap Extract 83,33mg (0.08g) *
(12:1 extract, equivalent to 1,000mg of raw</x:v>
      </x:c>
      <x:c r="H25" s="133" t="n">
        <x:v>47453</x:v>
      </x:c>
      <x:c r="I25" s="131" t="str">
        <x:v>BR-2026-0040</x:v>
      </x:c>
      <x:c r="J25" s="131" t="str">
        <x:v>Alta - data explícita no rótulo</x:v>
      </x:c>
      <x:c r="K25" s="131" t="str">
        <x:v>Média</x:v>
      </x:c>
      <x:c r="L25" s="131" t="str">
        <x:v>Chinese Skullcap\Mockup &amp; Label\Chinese Skullcap - Impressão.pdf</x:v>
      </x:c>
      <x:c r="M25" s="131" t="str">
        <x:v>Chinese Skullcap\Mockup &amp; Label\Chinese Skullcap - Impressão.pdf</x:v>
      </x:c>
      <x:c r="N25" s="131" t="str">
        <x:v>Lote extraído de texto vetorial; confirmar visualmente antes de uso operacional.</x:v>
      </x:c>
    </x:row>
    <x:row r="26" ht="58" customHeight="1">
      <x:c r="A26" s="131" t="str">
        <x:v>Chlorophyll</x:v>
      </x:c>
      <x:c r="B26" s="131" t="str">
        <x:v>Chlorophyll</x:v>
      </x:c>
      <x:c r="C26" s="131" t="str">
        <x:v>Ativo</x:v>
      </x:c>
      <x:c r="D26" s="131" t="str">
        <x:v>150 CAPS</x:v>
      </x:c>
      <x:c r="E26" s="131" t="str">
        <x:v>2 Capsules</x:v>
      </x:c>
      <x:c r="F26" s="132" t="n">
        <x:v>75</x:v>
      </x:c>
      <x:c r="G26" s="131" t="str">
        <x:v>600mg (0.6g) *</x:v>
      </x:c>
      <x:c r="H26" s="133" t="n">
        <x:v>47150</x:v>
      </x:c>
      <x:c r="I26" s="131" t="str">
        <x:v>BR-2026-0225</x:v>
      </x:c>
      <x:c r="J26" s="131" t="str">
        <x:v>Alta - data explícita no rótulo</x:v>
      </x:c>
      <x:c r="K26" s="131" t="str">
        <x:v>Alta</x:v>
      </x:c>
      <x:c r="L26" s="131" t="str">
        <x:v>Chlorophyll\Mockup &amp; Label\Chlorophyll - Impressão.pdf</x:v>
      </x:c>
      <x:c r="M26" s="131" t="str">
        <x:v>Chlorophyll\Mockup &amp; Label\Chlorophyll - Impressão.pdf</x:v>
      </x:c>
      <x:c r="N26" s="131" t="str"/>
    </x:row>
    <x:row r="27" ht="58" customHeight="1">
      <x:c r="A27" s="131" t="str">
        <x:v>Chromium</x:v>
      </x:c>
      <x:c r="B27" s="131" t="str">
        <x:v>Chromium Picolinate C2, 1000mcg, 800tablets (2 Bottles)</x:v>
      </x:c>
      <x:c r="C27" s="131" t="str">
        <x:v>Ativo / Multipack</x:v>
      </x:c>
      <x:c r="D27" s="131" t="str">
        <x:v>800 tablets</x:v>
      </x:c>
      <x:c r="E27" s="131" t="str">
        <x:v>1 Tablet</x:v>
      </x:c>
      <x:c r="F27" s="132" t="n">
        <x:v>400</x:v>
      </x:c>
      <x:c r="G27" s="131" t="str">
        <x:v>Chromium 1000 mcg 2,857%</x:v>
      </x:c>
      <x:c r="H27" s="133" t="n">
        <x:v>47150</x:v>
      </x:c>
      <x:c r="I27" s="131" t="str">
        <x:v>BR-2026-0168</x:v>
      </x:c>
      <x:c r="J27" s="131" t="str">
        <x:v>Alta - data explícita no rótulo</x:v>
      </x:c>
      <x:c r="K27" s="131" t="str">
        <x:v>Alta</x:v>
      </x:c>
      <x:c r="L27" s="131" t="str">
        <x:v>Chromium\Chromium Picolinate C2, 1000mcg, 800tablets (2 Bottles)\Mockup &amp; Label\Chromium - Impressão.pdf</x:v>
      </x:c>
      <x:c r="M27" s="131" t="str">
        <x:v>Chromium\Chromium Picolinate C2, 1000mcg, 800tablets (2 Bottles)\Mockup &amp; Label\Chromium - Impressão.pdf</x:v>
      </x:c>
      <x:c r="N27" s="131" t="str"/>
    </x:row>
    <x:row r="28" ht="58" customHeight="1">
      <x:c r="A28" s="131" t="str">
        <x:v>Chromium</x:v>
      </x:c>
      <x:c r="B28" s="131" t="str">
        <x:v>Chromium Picolinate, 1000mcg, 400tablets</x:v>
      </x:c>
      <x:c r="C28" s="131" t="str">
        <x:v>Ativo</x:v>
      </x:c>
      <x:c r="D28" s="131" t="str">
        <x:v>400 tablets</x:v>
      </x:c>
      <x:c r="E28" s="131" t="str">
        <x:v>1 Tablet</x:v>
      </x:c>
      <x:c r="F28" s="132" t="n">
        <x:v>400</x:v>
      </x:c>
      <x:c r="G28" s="131" t="str">
        <x:v>Chromium 1000 mcg 2,857%</x:v>
      </x:c>
      <x:c r="H28" s="133" t="n">
        <x:v>47150</x:v>
      </x:c>
      <x:c r="I28" s="131" t="str">
        <x:v>BR-2026-0168</x:v>
      </x:c>
      <x:c r="J28" s="131" t="str">
        <x:v>Alta - data explícita no rótulo</x:v>
      </x:c>
      <x:c r="K28" s="131" t="str">
        <x:v>Alta</x:v>
      </x:c>
      <x:c r="L28" s="131" t="str">
        <x:v>Chromium\Chromium Picolinate, 1000mcg, 400tablets\Mockup &amp; Label\Chromium - Impressão.pdf</x:v>
      </x:c>
      <x:c r="M28" s="131" t="str">
        <x:v>Chromium\Chromium Picolinate, 1000mcg, 400tablets\Mockup &amp; Label\Chromium - Impressão.pdf</x:v>
      </x:c>
      <x:c r="N28" s="131" t="str"/>
    </x:row>
    <x:row r="29" ht="58" customHeight="1">
      <x:c r="A29" s="131" t="str">
        <x:v>Citrus Bergamot</x:v>
      </x:c>
      <x:c r="B29" s="131" t="str">
        <x:v>Citrus Bergamot</x:v>
      </x:c>
      <x:c r="C29" s="131" t="str">
        <x:v>Ativo</x:v>
      </x:c>
      <x:c r="D29" s="131" t="str">
        <x:v>150 CAPS</x:v>
      </x:c>
      <x:c r="E29" s="131" t="str">
        <x:v>2 Capsules</x:v>
      </x:c>
      <x:c r="F29" s="132" t="n">
        <x:v>75</x:v>
      </x:c>
      <x:c r="G29" s="131" t="str">
        <x:v>Citrus Bergamot 1200mg (1.2g) *</x:v>
      </x:c>
      <x:c r="H29" s="133" t="n">
        <x:v>47270</x:v>
      </x:c>
      <x:c r="I29" s="131" t="str">
        <x:v>BR-2026-0125</x:v>
      </x:c>
      <x:c r="J29" s="131" t="str">
        <x:v>Alta - data explícita no rótulo</x:v>
      </x:c>
      <x:c r="K29" s="131" t="str">
        <x:v>Alta</x:v>
      </x:c>
      <x:c r="L29" s="131" t="str">
        <x:v>Citrus Bergamot\Mockup &amp; Label\Citrus Bergamot  - Impressão.pdf</x:v>
      </x:c>
      <x:c r="M29" s="131" t="str">
        <x:v>Citrus Bergamot\Mockup &amp; Label\Citrus Bergamot  - Impressão.pdf</x:v>
      </x:c>
      <x:c r="N29" s="131" t="str"/>
    </x:row>
    <x:row r="30" ht="58" customHeight="1">
      <x:c r="A30" s="131" t="str">
        <x:v>D-Aspartic</x:v>
      </x:c>
      <x:c r="B30" s="131" t="str">
        <x:v>D-Aspartic</x:v>
      </x:c>
      <x:c r="C30" s="131" t="str">
        <x:v>Ativo</x:v>
      </x:c>
      <x:c r="D30" s="131" t="str">
        <x:v>200 CAPS</x:v>
      </x:c>
      <x:c r="E30" s="131" t="str">
        <x:v>4 Capsules</x:v>
      </x:c>
      <x:c r="F30" s="132" t="n">
        <x:v>50</x:v>
      </x:c>
      <x:c r="G30" s="131" t="str">
        <x:v>D-Aspartic Acid 3,000mg (3g) *</x:v>
      </x:c>
      <x:c r="H30" s="133" t="n">
        <x:v>47453</x:v>
      </x:c>
      <x:c r="I30" s="131" t="str">
        <x:v>2014-20015600</x:v>
      </x:c>
      <x:c r="J30" s="131" t="str">
        <x:v>Alta - data explícita no rótulo</x:v>
      </x:c>
      <x:c r="K30" s="131" t="str">
        <x:v>Média</x:v>
      </x:c>
      <x:c r="L30" s="131" t="str">
        <x:v>D-Aspartic\Mockup &amp; Label\D-Aspartic - Impressão.pdf</x:v>
      </x:c>
      <x:c r="M30" s="131" t="str">
        <x:v>D-Aspartic\Mockup &amp; Label\D-Aspartic - Impressão.pdf</x:v>
      </x:c>
      <x:c r="N30" s="131" t="str">
        <x:v>Lote extraído de texto vetorial; confirmar visualmente antes de uso operacional.</x:v>
      </x:c>
    </x:row>
    <x:row r="31" ht="58" customHeight="1">
      <x:c r="A31" s="131" t="str">
        <x:v>Devil's Claw</x:v>
      </x:c>
      <x:c r="B31" s="131" t="str">
        <x:v>Devil's Claw</x:v>
      </x:c>
      <x:c r="C31" s="131" t="str">
        <x:v>Ativo</x:v>
      </x:c>
      <x:c r="D31" s="131" t="str">
        <x:v>120 CAPS</x:v>
      </x:c>
      <x:c r="E31" s="131" t="str">
        <x:v>2 Capsules</x:v>
      </x:c>
      <x:c r="F31" s="132" t="n">
        <x:v>60</x:v>
      </x:c>
      <x:c r="G31" s="131" t="str">
        <x:v>Devil’s Claw Extract 650mg (0.65g) *
** (4:1 extract, equivalent to 2,600mg of raw</x:v>
      </x:c>
      <x:c r="H31" s="133" t="n">
        <x:v>47453</x:v>
      </x:c>
      <x:c r="I31" s="131" t="str">
        <x:v>BR-2026-0216</x:v>
      </x:c>
      <x:c r="J31" s="131" t="str">
        <x:v>Alta - data explícita no rótulo</x:v>
      </x:c>
      <x:c r="K31" s="131" t="str">
        <x:v>Média</x:v>
      </x:c>
      <x:c r="L31" s="131" t="str">
        <x:v>Devil's Claw\Mockup &amp; Label\Devil's Claw - Impressão.pdf</x:v>
      </x:c>
      <x:c r="M31" s="131" t="str">
        <x:v>Devil's Claw\Mockup &amp; Label\Devil's Claw - Impressão.pdf</x:v>
      </x:c>
      <x:c r="N31" s="131" t="str">
        <x:v>Lote extraído de texto vetorial; confirmar visualmente antes de uso operacional.</x:v>
      </x:c>
    </x:row>
    <x:row r="32" ht="58" customHeight="1">
      <x:c r="A32" s="131" t="str">
        <x:v>Fadogia Agrestis</x:v>
      </x:c>
      <x:c r="B32" s="131" t="str">
        <x:v>Fadogia Agrestis</x:v>
      </x:c>
      <x:c r="C32" s="131" t="str">
        <x:v>Ativo</x:v>
      </x:c>
      <x:c r="D32" s="131" t="str">
        <x:v>200 CAPS</x:v>
      </x:c>
      <x:c r="E32" s="131" t="str">
        <x:v>2 Capsules</x:v>
      </x:c>
      <x:c r="F32" s="132" t="n">
        <x:v>100</x:v>
      </x:c>
      <x:c r="G32" s="131" t="str">
        <x:v>Fadogia Agrestis Extract 600mg (0.60g) *
(Equivalent to 600mg of raw</x:v>
      </x:c>
      <x:c r="H32" s="133" t="n">
        <x:v>47300</x:v>
      </x:c>
      <x:c r="I32" s="131" t="str">
        <x:v>BR-2026-0198</x:v>
      </x:c>
      <x:c r="J32" s="131" t="str">
        <x:v>Alta - data explícita no rótulo</x:v>
      </x:c>
      <x:c r="K32" s="131" t="str">
        <x:v>Média</x:v>
      </x:c>
      <x:c r="L32" s="131" t="str">
        <x:v>Fadogia Agrestis\Mockup &amp; Label\Fadogia Agrestis - Impressão.pdf</x:v>
      </x:c>
      <x:c r="M32" s="131" t="str">
        <x:v>Fadogia Agrestis\Mockup &amp; Label\Fadogia Agrestis - Impressão.pdf</x:v>
      </x:c>
      <x:c r="N32" s="131" t="str">
        <x:v>Lote extraído de texto vetorial; confirmar visualmente antes de uso operacional.</x:v>
      </x:c>
    </x:row>
    <x:row r="33" ht="58" customHeight="1">
      <x:c r="A33" s="131" t="str">
        <x:v>Feminiva</x:v>
      </x:c>
      <x:c r="B33" s="131" t="str">
        <x:v>Feminiva 600mg, 30sup</x:v>
      </x:c>
      <x:c r="C33" s="131" t="str">
        <x:v>Ativo</x:v>
      </x:c>
      <x:c r="D33" s="131" t="str">
        <x:v>30 sup</x:v>
      </x:c>
      <x:c r="E33" s="131" t="str">
        <x:v>1 Capsule</x:v>
      </x:c>
      <x:c r="F33" s="132" t="n">
        <x:v>30</x:v>
      </x:c>
      <x:c r="G33" s="131" t="str">
        <x:v>Boric Acid 600mg *
600 MG VAGINAL SUPPOSITORIES</x:v>
      </x:c>
      <x:c r="H33" s="133" t="n">
        <x:v>47515</x:v>
      </x:c>
      <x:c r="I33" s="131" t="str">
        <x:v>BR-2026-0204</x:v>
      </x:c>
      <x:c r="J33" s="131" t="str">
        <x:v>Alta - data explícita no rótulo</x:v>
      </x:c>
      <x:c r="K33" s="131" t="str">
        <x:v>Alta</x:v>
      </x:c>
      <x:c r="L33" s="131" t="str">
        <x:v>Feminiva\Feminiva 600mg, 30sup\Mockup &amp; Label\Feminiva - Impressão.pdf</x:v>
      </x:c>
      <x:c r="M33" s="131" t="str">
        <x:v>Feminiva\Feminiva 600mg, 30sup\Mockup &amp; Label\Feminiva - Impressão.pdf</x:v>
      </x:c>
      <x:c r="N33" s="131" t="str"/>
    </x:row>
    <x:row r="34" ht="58" customHeight="1">
      <x:c r="A34" s="131" t="str">
        <x:v>Feminiva</x:v>
      </x:c>
      <x:c r="B34" s="131" t="str">
        <x:v>Feminiva 600mg, 60sup (2 Bottles)</x:v>
      </x:c>
      <x:c r="C34" s="131" t="str">
        <x:v>Ativo / Multipack</x:v>
      </x:c>
      <x:c r="D34" s="131" t="str">
        <x:v>60 sup</x:v>
      </x:c>
      <x:c r="E34" s="131" t="str">
        <x:v>1 Capsule</x:v>
      </x:c>
      <x:c r="F34" s="132" t="n">
        <x:v>30</x:v>
      </x:c>
      <x:c r="G34" s="131" t="str">
        <x:v>Boric Acid 600mg *
600 MG VAGINAL SUPPOSITORIES</x:v>
      </x:c>
      <x:c r="H34" s="133" t="n">
        <x:v>47515</x:v>
      </x:c>
      <x:c r="I34" s="131" t="str">
        <x:v>1000-3015600</x:v>
      </x:c>
      <x:c r="J34" s="131" t="str">
        <x:v>Alta - data explícita no rótulo</x:v>
      </x:c>
      <x:c r="K34" s="131" t="str">
        <x:v>Média</x:v>
      </x:c>
      <x:c r="L34" s="131" t="str">
        <x:v>Feminiva\Feminiva 600mg, 60sup (2 Bottles)\Mockup &amp; Label\Feminiva - Impressão.pdf</x:v>
      </x:c>
      <x:c r="M34" s="131" t="str">
        <x:v>Feminiva\Feminiva 600mg, 60sup (2 Bottles)\Mockup &amp; Label\Feminiva - Impressão.pdf</x:v>
      </x:c>
      <x:c r="N34" s="131" t="str">
        <x:v>Lote extraído de texto vetorial; confirmar visualmente antes de uso operacional.</x:v>
      </x:c>
    </x:row>
    <x:row r="35" ht="58" customHeight="1">
      <x:c r="A35" s="131" t="str">
        <x:v>Fenugreek</x:v>
      </x:c>
      <x:c r="B35" s="131" t="str">
        <x:v>Fenugreek</x:v>
      </x:c>
      <x:c r="C35" s="131" t="str">
        <x:v>Ativo</x:v>
      </x:c>
      <x:c r="D35" s="131" t="str">
        <x:v>150 capsules (derivado de porção x porções)</x:v>
      </x:c>
      <x:c r="E35" s="131" t="str">
        <x:v>2 Capsules</x:v>
      </x:c>
      <x:c r="F35" s="132" t="n">
        <x:v>75</x:v>
      </x:c>
      <x:c r="G35" s="131" t="str">
        <x:v>**(100:1 extract, equivalent to 6,000mg of raw
60mg (0.06g) *</x:v>
      </x:c>
      <x:c r="H35" s="133" t="n">
        <x:v>47300</x:v>
      </x:c>
      <x:c r="I35" s="131" t="str">
        <x:v>BR-2026-0105</x:v>
      </x:c>
      <x:c r="J35" s="131" t="str">
        <x:v>Alta - data explícita no rótulo</x:v>
      </x:c>
      <x:c r="K35" s="131" t="str">
        <x:v>Alta</x:v>
      </x:c>
      <x:c r="L35" s="131" t="str">
        <x:v>Fenugreek\Mockup &amp; Label\Fenugreek - Impressão.pdf</x:v>
      </x:c>
      <x:c r="M35" s="131" t="str">
        <x:v>Fenugreek\Mockup &amp; Label\Fenugreek - Impressão.pdf</x:v>
      </x:c>
      <x:c r="N35" s="131" t="str">
        <x:v>Conteúdo calculado como porção x porções por frasco.</x:v>
      </x:c>
    </x:row>
    <x:row r="36" ht="58" customHeight="1">
      <x:c r="A36" s="131" t="str">
        <x:v>Fo-Ti</x:v>
      </x:c>
      <x:c r="B36" s="131" t="str">
        <x:v>Fo-Ti</x:v>
      </x:c>
      <x:c r="C36" s="131" t="str">
        <x:v>Ativo</x:v>
      </x:c>
      <x:c r="D36" s="131" t="str">
        <x:v>200 CAPS</x:v>
      </x:c>
      <x:c r="E36" s="131" t="str">
        <x:v>1 Capsule</x:v>
      </x:c>
      <x:c r="F36" s="132" t="n">
        <x:v>200</x:v>
      </x:c>
      <x:c r="G36" s="131" t="str">
        <x:v>Fo-Ti Extract 100mg (0.10g) *
** (10:1 extract, equivalent to 1,000mg of raw</x:v>
      </x:c>
      <x:c r="H36" s="133" t="n">
        <x:v>47453</x:v>
      </x:c>
      <x:c r="I36" s="131" t="str">
        <x:v>2030-20015600</x:v>
      </x:c>
      <x:c r="J36" s="131" t="str">
        <x:v>Alta - data explícita no rótulo</x:v>
      </x:c>
      <x:c r="K36" s="131" t="str">
        <x:v>Média</x:v>
      </x:c>
      <x:c r="L36" s="131" t="str">
        <x:v>Fo-Ti\Mockup &amp; Label\Fo-Ti - Impressão.ai</x:v>
      </x:c>
      <x:c r="M36" s="131" t="str">
        <x:v>Fo-Ti\Mockup &amp; Label\Fo-Ti - Impressão.ai</x:v>
      </x:c>
      <x:c r="N36" s="131" t="str">
        <x:v>Lote extraído de texto vetorial; confirmar visualmente antes de uso operacional.</x:v>
      </x:c>
    </x:row>
    <x:row r="37" ht="58" customHeight="1">
      <x:c r="A37" s="131" t="str">
        <x:v>Folic Acid</x:v>
      </x:c>
      <x:c r="B37" s="131" t="str">
        <x:v>Folic Acid 1000mcg</x:v>
      </x:c>
      <x:c r="C37" s="131" t="str">
        <x:v>Ativo</x:v>
      </x:c>
      <x:c r="D37" s="131" t="str">
        <x:v>300 TABLETS</x:v>
      </x:c>
      <x:c r="E37" s="131" t="str">
        <x:v>1 Tablet</x:v>
      </x:c>
      <x:c r="F37" s="132" t="n">
        <x:v>300</x:v>
      </x:c>
      <x:c r="G37" s="131" t="str">
        <x:v>1,667 mcg DFE
1000mcg (1mg) 417%</x:v>
      </x:c>
      <x:c r="H37" s="133" t="n">
        <x:v>47270</x:v>
      </x:c>
      <x:c r="I37" s="131" t="str">
        <x:v>BR-2026-0214</x:v>
      </x:c>
      <x:c r="J37" s="131" t="str">
        <x:v>Alta - data explícita no rótulo</x:v>
      </x:c>
      <x:c r="K37" s="131" t="str">
        <x:v>Alta</x:v>
      </x:c>
      <x:c r="L37" s="131" t="str">
        <x:v>Folic Acid\Folic Acid 1000mcg\Mockup &amp; Label\Folic Acid 1000mcg - Impressão.pdf</x:v>
      </x:c>
      <x:c r="M37" s="131" t="str">
        <x:v>Folic Acid\Folic Acid 1000mcg\Mockup &amp; Label\Folic Acid 1000mcg - Impressão.pdf</x:v>
      </x:c>
      <x:c r="N37" s="131" t="str"/>
    </x:row>
    <x:row r="38" ht="58" customHeight="1">
      <x:c r="A38" s="131" t="str">
        <x:v>Folic Acid</x:v>
      </x:c>
      <x:c r="B38" s="131" t="str">
        <x:v>Folic Acid 400mcg</x:v>
      </x:c>
      <x:c r="C38" s="131" t="str">
        <x:v>Ativo</x:v>
      </x:c>
      <x:c r="D38" s="131" t="str">
        <x:v>300 TABLETS</x:v>
      </x:c>
      <x:c r="E38" s="131" t="str">
        <x:v>1 Tablet</x:v>
      </x:c>
      <x:c r="F38" s="132" t="n">
        <x:v>300</x:v>
      </x:c>
      <x:c r="G38" s="131" t="str">
        <x:v>665 mcg DFE
400mcg 167%</x:v>
      </x:c>
      <x:c r="H38" s="133" t="n">
        <x:v>47300</x:v>
      </x:c>
      <x:c r="I38" s="131" t="str">
        <x:v>BR-2026-0213</x:v>
      </x:c>
      <x:c r="J38" s="131" t="str">
        <x:v>Alta - data explícita no rótulo</x:v>
      </x:c>
      <x:c r="K38" s="131" t="str">
        <x:v>Alta</x:v>
      </x:c>
      <x:c r="L38" s="131" t="str">
        <x:v>Folic Acid\Folic Acid 400mcg\Mockup &amp; Label\Folic Acid 400mcg - Impressão.pdf</x:v>
      </x:c>
      <x:c r="M38" s="131" t="str">
        <x:v>Folic Acid\Folic Acid 400mcg\Mockup &amp; Label\Folic Acid 400mcg - Impressão.pdf</x:v>
      </x:c>
      <x:c r="N38" s="131" t="str"/>
    </x:row>
    <x:row r="39" ht="58" customHeight="1">
      <x:c r="A39" s="131" t="str">
        <x:v>French Maritime Pine Bark</x:v>
      </x:c>
      <x:c r="B39" s="131" t="str">
        <x:v>French Maritime Pine Bark</x:v>
      </x:c>
      <x:c r="C39" s="131" t="str">
        <x:v>Ativo</x:v>
      </x:c>
      <x:c r="D39" s="131" t="str">
        <x:v>200 CAPS</x:v>
      </x:c>
      <x:c r="E39" s="131" t="str">
        <x:v>2 Capsules</x:v>
      </x:c>
      <x:c r="F39" s="132" t="n">
        <x:v>100</x:v>
      </x:c>
      <x:c r="G39" s="131" t="str">
        <x:v>(20:1 extract, equivalent to 6,000mg of raw
300mg (0.30g) *</x:v>
      </x:c>
      <x:c r="H39" s="133" t="n">
        <x:v>47331</x:v>
      </x:c>
      <x:c r="I39" s="131" t="str">
        <x:v>BR-2026-0234</x:v>
      </x:c>
      <x:c r="J39" s="131" t="str">
        <x:v>Alta - data explícita no rótulo</x:v>
      </x:c>
      <x:c r="K39" s="131" t="str">
        <x:v>Alta</x:v>
      </x:c>
      <x:c r="L39" s="131" t="str">
        <x:v>French Maritime Pine Bark\Mockup &amp; Label\Pine Bark - Impressão.pdf</x:v>
      </x:c>
      <x:c r="M39" s="131" t="str">
        <x:v>French Maritime Pine Bark\Mockup &amp; Label\Pine Bark - Impressão.pdf</x:v>
      </x:c>
      <x:c r="N39" s="131" t="str"/>
    </x:row>
    <x:row r="40" ht="58" customHeight="1">
      <x:c r="A40" s="131" t="str">
        <x:v>Ginger Root</x:v>
      </x:c>
      <x:c r="B40" s="131" t="str">
        <x:v>Ginger Root</x:v>
      </x:c>
      <x:c r="C40" s="131" t="str">
        <x:v>Ativo</x:v>
      </x:c>
      <x:c r="D40" s="131" t="str">
        <x:v>200 CAPS</x:v>
      </x:c>
      <x:c r="E40" s="131" t="str">
        <x:v>2 Capsules</x:v>
      </x:c>
      <x:c r="F40" s="132" t="n">
        <x:v>100</x:v>
      </x:c>
      <x:c r="G40" s="131" t="str">
        <x:v>(4:1 extract, equivalent to 4,000mg of raw
Ginger Root Extract 1.000mg (1g) *</x:v>
      </x:c>
      <x:c r="H40" s="133" t="n">
        <x:v>47209</x:v>
      </x:c>
      <x:c r="I40" s="131" t="str">
        <x:v>BR-2026-0290</x:v>
      </x:c>
      <x:c r="J40" s="131" t="str">
        <x:v>Alta - data explícita no rótulo</x:v>
      </x:c>
      <x:c r="K40" s="131" t="str">
        <x:v>Alta</x:v>
      </x:c>
      <x:c r="L40" s="131" t="str">
        <x:v>Ginger Root\Mockup &amp; Label\Ginger Root - Impressão.pdf</x:v>
      </x:c>
      <x:c r="M40" s="131" t="str">
        <x:v>Ginger Root\Mockup &amp; Label\Ginger Root - Impressão.pdf</x:v>
      </x:c>
      <x:c r="N40" s="131" t="str"/>
    </x:row>
    <x:row r="41" ht="58" customHeight="1">
      <x:c r="A41" s="131" t="str">
        <x:v>Ginkgo Biloba</x:v>
      </x:c>
      <x:c r="B41" s="131" t="str">
        <x:v>Ginkgo Biloba</x:v>
      </x:c>
      <x:c r="C41" s="131" t="str">
        <x:v>Ativo</x:v>
      </x:c>
      <x:c r="D41" s="131" t="str">
        <x:v>200 CAPS</x:v>
      </x:c>
      <x:c r="E41" s="131" t="str">
        <x:v>1 Capsule</x:v>
      </x:c>
      <x:c r="F41" s="132" t="n">
        <x:v>200</x:v>
      </x:c>
      <x:c r="G41" s="131" t="str">
        <x:v>75mg (0.07g) *
** (100:1 extract, equivalent to 7,500mg of raw</x:v>
      </x:c>
      <x:c r="H41" s="133" t="n">
        <x:v>47300</x:v>
      </x:c>
      <x:c r="I41" s="131" t="str">
        <x:v>BR-2026-0268</x:v>
      </x:c>
      <x:c r="J41" s="131" t="str">
        <x:v>Alta - data explícita no rótulo</x:v>
      </x:c>
      <x:c r="K41" s="131" t="str">
        <x:v>Alta</x:v>
      </x:c>
      <x:c r="L41" s="131" t="str">
        <x:v>Ginkgo Biloba\Mockup &amp; Label\Ginkgo Biloba - Impressão.pdf</x:v>
      </x:c>
      <x:c r="M41" s="131" t="str">
        <x:v>Ginkgo Biloba\Mockup &amp; Label\Ginkgo Biloba - Impressão.pdf</x:v>
      </x:c>
      <x:c r="N41" s="131" t="str"/>
    </x:row>
    <x:row r="42" ht="58" customHeight="1">
      <x:c r="A42" s="131" t="str">
        <x:v>Glutathione</x:v>
      </x:c>
      <x:c r="B42" s="131" t="str">
        <x:v>Glutathione - Reduced Form - 1000mg - 150caps</x:v>
      </x:c>
      <x:c r="C42" s="131" t="str">
        <x:v>Ativo</x:v>
      </x:c>
      <x:c r="D42" s="131" t="str">
        <x:v>150 caps</x:v>
      </x:c>
      <x:c r="E42" s="131" t="str">
        <x:v>3 Capsules</x:v>
      </x:c>
      <x:c r="F42" s="132" t="n">
        <x:v>50</x:v>
      </x:c>
      <x:c r="G42" s="131" t="str">
        <x:v>1,000 mg(1g)
500 mg 556%</x:v>
      </x:c>
      <x:c r="H42" s="133" t="n">
        <x:v>47300</x:v>
      </x:c>
      <x:c r="I42" s="131" t="str">
        <x:v>BR-2026-0223</x:v>
      </x:c>
      <x:c r="J42" s="131" t="str">
        <x:v>Alta - data explícita no rótulo</x:v>
      </x:c>
      <x:c r="K42" s="131" t="str">
        <x:v>Alta</x:v>
      </x:c>
      <x:c r="L42" s="131" t="str">
        <x:v>Glutathione\Glutathione - Reduced Form - 1000mg - 150caps\Mockup &amp; Label\Glutathione - Impressão.pdf</x:v>
      </x:c>
      <x:c r="M42" s="131" t="str">
        <x:v>Glutathione\Glutathione - Reduced Form - 1000mg - 150caps\Mockup &amp; Label\Glutathione - Impressão.pdf</x:v>
      </x:c>
      <x:c r="N42" s="131" t="str"/>
    </x:row>
    <x:row r="43" ht="58" customHeight="1">
      <x:c r="A43" s="131" t="str">
        <x:v>Graviola</x:v>
      </x:c>
      <x:c r="B43" s="131" t="str">
        <x:v>Graviola 5000mg, 200caps</x:v>
      </x:c>
      <x:c r="C43" s="131" t="str">
        <x:v>Ativo</x:v>
      </x:c>
      <x:c r="D43" s="131" t="str">
        <x:v>200 caps</x:v>
      </x:c>
      <x:c r="E43" s="131" t="str">
        <x:v>1 Capsule</x:v>
      </x:c>
      <x:c r="F43" s="132" t="n">
        <x:v>200</x:v>
      </x:c>
      <x:c r="G43" s="131" t="str">
        <x:v>Graviola Leaf Extract 250mg (0.25g) *
** (10:1 extract, equivalent to 2,500mg of Graviola Leaf)
Graviola Fruit Extract 250mg (0.25g) *
(+ 1 itens na aba Supplement Facts)</x:v>
      </x:c>
      <x:c r="H43" s="133" t="n">
        <x:v>47270</x:v>
      </x:c>
      <x:c r="I43" s="131" t="str">
        <x:v>BR-2026-0150</x:v>
      </x:c>
      <x:c r="J43" s="131" t="str">
        <x:v>Alta - data explícita no rótulo</x:v>
      </x:c>
      <x:c r="K43" s="131" t="str">
        <x:v>Alta</x:v>
      </x:c>
      <x:c r="L43" s="131" t="str">
        <x:v>Graviola\Graviola 5000mg, 200caps\Mockup &amp; Label\Graviola - Impressão.pdf</x:v>
      </x:c>
      <x:c r="M43" s="131" t="str">
        <x:v>Graviola\Graviola 5000mg, 200caps\Mockup &amp; Label\Graviola - Impressão.pdf</x:v>
      </x:c>
      <x:c r="N43" s="131" t="str"/>
    </x:row>
    <x:row r="44" ht="58" customHeight="1">
      <x:c r="A44" s="131" t="str">
        <x:v>Graviola</x:v>
      </x:c>
      <x:c r="B44" s="131" t="str">
        <x:v>Graviola C2 5000mg, 400caps (2Bottles)</x:v>
      </x:c>
      <x:c r="C44" s="131" t="str">
        <x:v>Ativo / Multipack</x:v>
      </x:c>
      <x:c r="D44" s="131" t="str">
        <x:v>400 caps</x:v>
      </x:c>
      <x:c r="E44" s="131" t="str">
        <x:v>1 Capsule</x:v>
      </x:c>
      <x:c r="F44" s="132" t="n">
        <x:v>200</x:v>
      </x:c>
      <x:c r="G44" s="131" t="str">
        <x:v>Graviola Leaf Extract 250mg (0.25g) *
** (10:1 extract, equivalent to 2,500mg of Graviola Leaf)
Graviola Fruit Extract 250mg (0.25g) *
(+ 1 itens na aba Supplement Facts)</x:v>
      </x:c>
      <x:c r="H44" s="133" t="n">
        <x:v>47270</x:v>
      </x:c>
      <x:c r="I44" s="131" t="str">
        <x:v>BR-2026-0150</x:v>
      </x:c>
      <x:c r="J44" s="131" t="str">
        <x:v>Alta - data explícita no rótulo</x:v>
      </x:c>
      <x:c r="K44" s="131" t="str">
        <x:v>Alta</x:v>
      </x:c>
      <x:c r="L44" s="131" t="str">
        <x:v>Graviola\Graviola C2 5000mg, 400caps (2Bottles)\Mockup &amp; Label\Graviola - Impressão.pdf</x:v>
      </x:c>
      <x:c r="M44" s="131" t="str">
        <x:v>Graviola\Graviola C2 5000mg, 400caps (2Bottles)\Mockup &amp; Label\Graviola - Impressão.pdf</x:v>
      </x:c>
      <x:c r="N44" s="131" t="str"/>
    </x:row>
    <x:row r="45" ht="58" customHeight="1">
      <x:c r="A45" s="131" t="str">
        <x:v>Green Tea</x:v>
      </x:c>
      <x:c r="B45" s="131" t="str">
        <x:v>Green Tea</x:v>
      </x:c>
      <x:c r="C45" s="131" t="str">
        <x:v>Ativo</x:v>
      </x:c>
      <x:c r="D45" s="131" t="str">
        <x:v>200 CAPS</x:v>
      </x:c>
      <x:c r="E45" s="131" t="str">
        <x:v>3 Capsules</x:v>
      </x:c>
      <x:c r="F45" s="132" t="n">
        <x:v>66</x:v>
      </x:c>
      <x:c r="G45" s="131" t="str">
        <x:v>2.100mg (2.1g) *</x:v>
      </x:c>
      <x:c r="H45" s="133" t="n">
        <x:v>47239</x:v>
      </x:c>
      <x:c r="I45" s="131" t="str">
        <x:v>BR-2026-0098</x:v>
      </x:c>
      <x:c r="J45" s="131" t="str">
        <x:v>Alta - data explícita no rótulo</x:v>
      </x:c>
      <x:c r="K45" s="131" t="str">
        <x:v>Alta</x:v>
      </x:c>
      <x:c r="L45" s="131" t="str">
        <x:v>Green Tea\Mockup &amp; Label\Green Tea - Impressão.pdf</x:v>
      </x:c>
      <x:c r="M45" s="131" t="str">
        <x:v>Green Tea\Mockup &amp; Label\Green Tea - Impressão.pdf</x:v>
      </x:c>
      <x:c r="N45" s="131" t="str"/>
    </x:row>
    <x:row r="46" ht="58" customHeight="1">
      <x:c r="A46" s="131" t="str">
        <x:v>Gymnema Sylvestre</x:v>
      </x:c>
      <x:c r="B46" s="131" t="str">
        <x:v>Gymnema Sylvestre</x:v>
      </x:c>
      <x:c r="C46" s="131" t="str">
        <x:v>Ativo</x:v>
      </x:c>
      <x:c r="D46" s="131" t="str">
        <x:v>200 CAPS</x:v>
      </x:c>
      <x:c r="E46" s="131" t="str">
        <x:v>2 Capsules</x:v>
      </x:c>
      <x:c r="F46" s="132" t="n">
        <x:v>100</x:v>
      </x:c>
      <x:c r="G46" s="131" t="str">
        <x:v>Gymnema Sylvestre Extract 160mg (0.16g) *
**(25:1 extract, equivalent to 4,000mg of raw</x:v>
      </x:c>
      <x:c r="H46" s="133" t="n">
        <x:v>47300</x:v>
      </x:c>
      <x:c r="I46" s="131" t="str">
        <x:v>BR-2026-0267</x:v>
      </x:c>
      <x:c r="J46" s="131" t="str">
        <x:v>Alta - data explícita no rótulo</x:v>
      </x:c>
      <x:c r="K46" s="131" t="str">
        <x:v>Média</x:v>
      </x:c>
      <x:c r="L46" s="131" t="str">
        <x:v>Gymnema Sylvestre\Mockup &amp; Label\Gymnema Sylvestre - Impressão.pdf</x:v>
      </x:c>
      <x:c r="M46" s="131" t="str">
        <x:v>Gymnema Sylvestre\Mockup &amp; Label\Gymnema Sylvestre - Impressão.pdf</x:v>
      </x:c>
      <x:c r="N46" s="131" t="str">
        <x:v>Lote extraído de texto vetorial; confirmar visualmente antes de uso operacional.</x:v>
      </x:c>
    </x:row>
    <x:row r="47" ht="58" customHeight="1">
      <x:c r="A47" s="131" t="str">
        <x:v>Hawthorn</x:v>
      </x:c>
      <x:c r="B47" s="131" t="str">
        <x:v>Hawthorn</x:v>
      </x:c>
      <x:c r="C47" s="131" t="str">
        <x:v>Ativo</x:v>
      </x:c>
      <x:c r="D47" s="131" t="str">
        <x:v>200 CAPS</x:v>
      </x:c>
      <x:c r="E47" s="131" t="str">
        <x:v>2 Capsules</x:v>
      </x:c>
      <x:c r="F47" s="132" t="n">
        <x:v>100</x:v>
      </x:c>
      <x:c r="G47" s="131" t="str">
        <x:v>Hawthorn Complex 3.000mg (3g) *
(300mg 10:1; Equivalent to 3000mg of raw</x:v>
      </x:c>
      <x:c r="H47" s="133" t="n">
        <x:v>47300</x:v>
      </x:c>
      <x:c r="I47" s="131" t="str">
        <x:v>BR-2026-0091</x:v>
      </x:c>
      <x:c r="J47" s="131" t="str">
        <x:v>Alta - data explícita no rótulo</x:v>
      </x:c>
      <x:c r="K47" s="131" t="str">
        <x:v>Média</x:v>
      </x:c>
      <x:c r="L47" s="131" t="str">
        <x:v>Hawthorn\Mockup &amp; Label\Hawthorn - Impressão.pdf</x:v>
      </x:c>
      <x:c r="M47" s="131" t="str">
        <x:v>Hawthorn\Mockup &amp; Label\Hawthorn - Impressão.pdf</x:v>
      </x:c>
      <x:c r="N47" s="131" t="str">
        <x:v>Lote extraído de texto vetorial; confirmar visualmente antes de uso operacional.</x:v>
      </x:c>
    </x:row>
    <x:row r="48" ht="58" customHeight="1">
      <x:c r="A48" s="131" t="str">
        <x:v>Hyaluronic Acid</x:v>
      </x:c>
      <x:c r="B48" s="131" t="str">
        <x:v>Hyaluronic Acid</x:v>
      </x:c>
      <x:c r="C48" s="131" t="str">
        <x:v>Ativo</x:v>
      </x:c>
      <x:c r="D48" s="131" t="str">
        <x:v>200 CAPS</x:v>
      </x:c>
      <x:c r="E48" s="131" t="str">
        <x:v>2 Capsules</x:v>
      </x:c>
      <x:c r="F48" s="132" t="n">
        <x:v>100</x:v>
      </x:c>
      <x:c r="G48" s="131" t="str">
        <x:v>Hyaluronic Acid 200mg (0.2g) *</x:v>
      </x:c>
      <x:c r="H48" s="133" t="n">
        <x:v>47178</x:v>
      </x:c>
      <x:c r="I48" s="131" t="str">
        <x:v>BR-2026-0187</x:v>
      </x:c>
      <x:c r="J48" s="131" t="str">
        <x:v>Alta - data explícita no rótulo</x:v>
      </x:c>
      <x:c r="K48" s="131" t="str">
        <x:v>Alta</x:v>
      </x:c>
      <x:c r="L48" s="131" t="str">
        <x:v>Hyaluronic Acid\Mockup &amp; Label\Hyaluronic Acid - Impressão -.pdf</x:v>
      </x:c>
      <x:c r="M48" s="131" t="str">
        <x:v>Hyaluronic Acid\Mockup &amp; Label\Hyaluronic Acid - Impressão -.pdf</x:v>
      </x:c>
      <x:c r="N48" s="131" t="str"/>
    </x:row>
    <x:row r="49" ht="58" customHeight="1">
      <x:c r="A49" s="131" t="str">
        <x:v>Hyaluronic Acid With Vitamin C</x:v>
      </x:c>
      <x:c r="B49" s="131" t="str">
        <x:v>Hyaluronic Acid With Vitamin C</x:v>
      </x:c>
      <x:c r="C49" s="131" t="str">
        <x:v>Ativo</x:v>
      </x:c>
      <x:c r="D49" s="131" t="str">
        <x:v>210 CAPS</x:v>
      </x:c>
      <x:c r="E49" s="131" t="str">
        <x:v>2 Capsules</x:v>
      </x:c>
      <x:c r="F49" s="132" t="n">
        <x:v>105</x:v>
      </x:c>
      <x:c r="G49" s="131" t="str">
        <x:v>Hyaluronic Acid 225mg (0.22g) *
28%Vitamin C 25mg (0.02g)</x:v>
      </x:c>
      <x:c r="H49" s="133" t="n">
        <x:v>47178</x:v>
      </x:c>
      <x:c r="I49" s="131" t="str">
        <x:v>BR-2026-0087</x:v>
      </x:c>
      <x:c r="J49" s="131" t="str">
        <x:v>Alta - data explícita no rótulo</x:v>
      </x:c>
      <x:c r="K49" s="131" t="str">
        <x:v>Alta</x:v>
      </x:c>
      <x:c r="L49" s="131" t="str">
        <x:v>Hyaluronic Acid With Vitamin C\Mockup &amp; Label\Hyaluronic Acid - Impressão.pdf</x:v>
      </x:c>
      <x:c r="M49" s="131" t="str">
        <x:v>Hyaluronic Acid With Vitamin C\Mockup &amp; Label\Hyaluronic Acid - Impressão.pdf</x:v>
      </x:c>
      <x:c r="N49" s="131" t="str"/>
    </x:row>
    <x:row r="50" ht="58" customHeight="1">
      <x:c r="A50" s="131" t="str">
        <x:v>L Carnitine</x:v>
      </x:c>
      <x:c r="B50" s="131" t="str">
        <x:v>L Carnitine</x:v>
      </x:c>
      <x:c r="C50" s="131" t="str">
        <x:v>Ativo</x:v>
      </x:c>
      <x:c r="D50" s="131" t="str">
        <x:v>120 CAPS</x:v>
      </x:c>
      <x:c r="E50" s="131" t="str">
        <x:v>3 Capsules</x:v>
      </x:c>
      <x:c r="F50" s="132" t="n">
        <x:v>40</x:v>
      </x:c>
      <x:c r="G50" s="131" t="str">
        <x:v>Acetyl L-Carnitine 1.500mg (1,5g) *</x:v>
      </x:c>
      <x:c r="H50" s="133" t="n">
        <x:v>47178</x:v>
      </x:c>
      <x:c r="I50" s="131" t="str">
        <x:v>BR-2026-0162</x:v>
      </x:c>
      <x:c r="J50" s="131" t="str">
        <x:v>Alta - data explícita no rótulo</x:v>
      </x:c>
      <x:c r="K50" s="131" t="str">
        <x:v>Alta</x:v>
      </x:c>
      <x:c r="L50" s="131" t="str">
        <x:v>L Carnitine\Mockup &amp; Label\L-Carnitine - Impressão.pdf</x:v>
      </x:c>
      <x:c r="M50" s="131" t="str">
        <x:v>L Carnitine\Mockup &amp; Label\L-Carnitine - Impressão.pdf</x:v>
      </x:c>
      <x:c r="N50" s="131" t="str"/>
    </x:row>
    <x:row r="51" ht="58" customHeight="1">
      <x:c r="A51" s="131" t="str">
        <x:v>L Theanine 400mg 150Capsules</x:v>
      </x:c>
      <x:c r="B51" s="131" t="str">
        <x:v>L Theanine 400mg 150Capsules</x:v>
      </x:c>
      <x:c r="C51" s="131" t="str">
        <x:v>Ativo</x:v>
      </x:c>
      <x:c r="D51" s="131" t="str">
        <x:v>150 Capsules</x:v>
      </x:c>
      <x:c r="E51" s="131" t="str">
        <x:v>2 Capsules</x:v>
      </x:c>
      <x:c r="F51" s="132" t="n">
        <x:v>75</x:v>
      </x:c>
      <x:c r="G51" s="131" t="str">
        <x:v>L-Theanine 400mg (0.4g) *</x:v>
      </x:c>
      <x:c r="H51" s="133" t="n">
        <x:v>47178</x:v>
      </x:c>
      <x:c r="I51" s="131" t="str">
        <x:v>BR-2026-0275</x:v>
      </x:c>
      <x:c r="J51" s="131" t="str">
        <x:v>Alta - data explícita no rótulo</x:v>
      </x:c>
      <x:c r="K51" s="131" t="str">
        <x:v>Alta</x:v>
      </x:c>
      <x:c r="L51" s="131" t="str">
        <x:v>L Theanine 400mg 150Capsules\Mockup &amp; Label\L Theanine - Impressão.pdf</x:v>
      </x:c>
      <x:c r="M51" s="131" t="str">
        <x:v>L Theanine 400mg 150Capsules\Mockup &amp; Label\L Theanine - Impressão.pdf</x:v>
      </x:c>
      <x:c r="N51" s="131" t="str"/>
    </x:row>
    <x:row r="52" ht="58" customHeight="1">
      <x:c r="A52" s="131" t="str">
        <x:v>L-Glutamine</x:v>
      </x:c>
      <x:c r="B52" s="131" t="str">
        <x:v>L-Glutamine</x:v>
      </x:c>
      <x:c r="C52" s="131" t="str">
        <x:v>Ativo</x:v>
      </x:c>
      <x:c r="D52" s="131" t="str">
        <x:v>240 CAPS</x:v>
      </x:c>
      <x:c r="E52" s="131" t="str">
        <x:v>2 Vegetarian Capsules</x:v>
      </x:c>
      <x:c r="F52" s="132" t="n">
        <x:v>120</x:v>
      </x:c>
      <x:c r="G52" s="131" t="str">
        <x:v>Fermented L-Glutamine 1,000mg (1g) *</x:v>
      </x:c>
      <x:c r="H52" s="133" t="n">
        <x:v>47270</x:v>
      </x:c>
      <x:c r="I52" s="131" t="str">
        <x:v>BR-2026-0250</x:v>
      </x:c>
      <x:c r="J52" s="131" t="str">
        <x:v>Alta - data explícita no rótulo</x:v>
      </x:c>
      <x:c r="K52" s="131" t="str">
        <x:v>Alta</x:v>
      </x:c>
      <x:c r="L52" s="131" t="str">
        <x:v>L-Glutamine\Mockup &amp; Label\L-Glutamine - Impressão.pdf</x:v>
      </x:c>
      <x:c r="M52" s="131" t="str">
        <x:v>L-Glutamine\Mockup &amp; Label\L-Glutamine - Impressão.pdf</x:v>
      </x:c>
      <x:c r="N52" s="131" t="str"/>
    </x:row>
    <x:row r="53" ht="58" customHeight="1">
      <x:c r="A53" s="131" t="str">
        <x:v>Licorice Root</x:v>
      </x:c>
      <x:c r="B53" s="131" t="str">
        <x:v>Licorice Root</x:v>
      </x:c>
      <x:c r="C53" s="131" t="str">
        <x:v>Ativo</x:v>
      </x:c>
      <x:c r="D53" s="131" t="str">
        <x:v>200 CAPS</x:v>
      </x:c>
      <x:c r="E53" s="131" t="str">
        <x:v>2 Capsules</x:v>
      </x:c>
      <x:c r="F53" s="132" t="n">
        <x:v>100</x:v>
      </x:c>
      <x:c r="G53" s="131" t="str">
        <x:v>DGL Licorice extract 900mg (0.9g)*
(Equivalent to 900mg of raw Licorice Root)</x:v>
      </x:c>
      <x:c r="H53" s="133" t="n">
        <x:v>47209</x:v>
      </x:c>
      <x:c r="I53" s="131" t="str">
        <x:v>BR-2026-0158</x:v>
      </x:c>
      <x:c r="J53" s="131" t="str">
        <x:v>Alta - data explícita no rótulo</x:v>
      </x:c>
      <x:c r="K53" s="131" t="str">
        <x:v>Alta</x:v>
      </x:c>
      <x:c r="L53" s="131" t="str">
        <x:v>Licorice Root\Mockup &amp; Label\Licorice Root - Impressão.pdf</x:v>
      </x:c>
      <x:c r="M53" s="131" t="str">
        <x:v>Licorice Root\Mockup &amp; Label\Licorice Root - Impressão.pdf</x:v>
      </x:c>
      <x:c r="N53" s="131" t="str"/>
    </x:row>
    <x:row r="54" ht="58" customHeight="1">
      <x:c r="A54" s="131" t="str">
        <x:v>Lithium Orotate</x:v>
      </x:c>
      <x:c r="B54" s="131" t="str">
        <x:v>Lithium Orotate 130mg 200tablets</x:v>
      </x:c>
      <x:c r="C54" s="131" t="str">
        <x:v>Ativo</x:v>
      </x:c>
      <x:c r="D54" s="131" t="str">
        <x:v>200 tablets</x:v>
      </x:c>
      <x:c r="E54" s="131" t="str">
        <x:v>1 Tablet</x:v>
      </x:c>
      <x:c r="F54" s="132" t="n">
        <x:v>200</x:v>
      </x:c>
      <x:c r="G54" s="131" t="str">
        <x:v>Lithium 5 mg *
(from 130mg of Lithium Orotate)</x:v>
      </x:c>
      <x:c r="H54" s="133" t="n">
        <x:v>47300</x:v>
      </x:c>
      <x:c r="I54" s="131" t="str">
        <x:v>BR-2026-0311</x:v>
      </x:c>
      <x:c r="J54" s="131" t="str">
        <x:v>Alta - data explícita no rótulo</x:v>
      </x:c>
      <x:c r="K54" s="131" t="str">
        <x:v>Alta</x:v>
      </x:c>
      <x:c r="L54" s="131" t="str">
        <x:v>Lithium Orotate\Lithium Orotate 130mg 200tablets\Mockup &amp; Label\Lithium Orotate 200tab - Impressão.pdf</x:v>
      </x:c>
      <x:c r="M54" s="131" t="str">
        <x:v>Lithium Orotate\Lithium Orotate 130mg 200tablets\Mockup &amp; Label\Lithium Orotate 200tab - Impressão.pdf</x:v>
      </x:c>
      <x:c r="N54" s="131" t="str"/>
    </x:row>
    <x:row r="55" ht="58" customHeight="1">
      <x:c r="A55" s="131" t="str">
        <x:v>Lithium Orotate</x:v>
      </x:c>
      <x:c r="B55" s="131" t="str">
        <x:v>Lithium Orotate 130mg 60tablets</x:v>
      </x:c>
      <x:c r="C55" s="131" t="str">
        <x:v>Ativo</x:v>
      </x:c>
      <x:c r="D55" s="131" t="str">
        <x:v>60 tablets</x:v>
      </x:c>
      <x:c r="E55" s="131" t="str">
        <x:v>2 Tablets</x:v>
      </x:c>
      <x:c r="F55" s="132" t="n">
        <x:v>30</x:v>
      </x:c>
      <x:c r="G55" s="131" t="str">
        <x:v>Lithium 5 mg *
(from 130mg of Lithium Orotate)</x:v>
      </x:c>
      <x:c r="H55" s="133" t="n">
        <x:v>47300</x:v>
      </x:c>
      <x:c r="I55" s="131" t="str">
        <x:v>BR-2026-0166</x:v>
      </x:c>
      <x:c r="J55" s="131" t="str">
        <x:v>Alta - data explícita no rótulo</x:v>
      </x:c>
      <x:c r="K55" s="131" t="str">
        <x:v>Alta</x:v>
      </x:c>
      <x:c r="L55" s="131" t="str">
        <x:v>Lithium Orotate\Lithium Orotate 130mg 60tablets\Mockup &amp; Label\Lithium Orotate 130mg 60 Tabs - Impressão.pdf</x:v>
      </x:c>
      <x:c r="M55" s="131" t="str">
        <x:v>Lithium Orotate\Lithium Orotate 130mg 60tablets\Mockup &amp; Label\Lithium Orotate 130mg 60 Tabs - Impressão.pdf</x:v>
      </x:c>
      <x:c r="N55" s="131" t="str"/>
    </x:row>
    <x:row r="56" ht="58" customHeight="1">
      <x:c r="A56" s="131" t="str">
        <x:v>Lithium Orotate</x:v>
      </x:c>
      <x:c r="B56" s="131" t="str">
        <x:v>Lithium Orotate 5mg 200tablets</x:v>
      </x:c>
      <x:c r="C56" s="131" t="str">
        <x:v>Ativo</x:v>
      </x:c>
      <x:c r="D56" s="131" t="str">
        <x:v>200 tablets</x:v>
      </x:c>
      <x:c r="E56" s="131" t="str">
        <x:v>1 Tablet</x:v>
      </x:c>
      <x:c r="F56" s="132" t="n">
        <x:v>200</x:v>
      </x:c>
      <x:c r="G56" s="131" t="str">
        <x:v>Lithium 5 mg *
(from 130mg of Lithium Orotate)</x:v>
      </x:c>
      <x:c r="H56" s="133" t="n">
        <x:v>47300</x:v>
      </x:c>
      <x:c r="I56" s="131" t="str">
        <x:v>BR-2026-0291</x:v>
      </x:c>
      <x:c r="J56" s="131" t="str">
        <x:v>Alta - data explícita no rótulo</x:v>
      </x:c>
      <x:c r="K56" s="131" t="str">
        <x:v>Alta</x:v>
      </x:c>
      <x:c r="L56" s="131" t="str">
        <x:v>Lithium Orotate\Lithium Orotate 5mg 200tablets\Mockup &amp; Label\Lithium Orotate 200tab - Impressão.pdf</x:v>
      </x:c>
      <x:c r="M56" s="131" t="str">
        <x:v>Lithium Orotate\Lithium Orotate 5mg 200tablets\Mockup &amp; Label\Lithium Orotate 200tab - Impressão.pdf</x:v>
      </x:c>
      <x:c r="N56" s="131" t="str"/>
    </x:row>
    <x:row r="57" ht="58" customHeight="1">
      <x:c r="A57" s="131" t="str">
        <x:v>Magnesium Citrate</x:v>
      </x:c>
      <x:c r="B57" s="131" t="str">
        <x:v>Magnesium Citrate</x:v>
      </x:c>
      <x:c r="C57" s="131" t="str">
        <x:v>Ativo</x:v>
      </x:c>
      <x:c r="D57" s="131" t="str">
        <x:v>90 CAPS</x:v>
      </x:c>
      <x:c r="E57" s="131" t="str">
        <x:v>1 Capsule</x:v>
      </x:c>
      <x:c r="F57" s="132" t="n">
        <x:v>90</x:v>
      </x:c>
      <x:c r="G57" s="131" t="str">
        <x:v>Magnesium Citrate 500mg *</x:v>
      </x:c>
      <x:c r="H57" s="133" t="n">
        <x:v>47270</x:v>
      </x:c>
      <x:c r="I57" s="131" t="str">
        <x:v>BR-2026-0310</x:v>
      </x:c>
      <x:c r="J57" s="131" t="str">
        <x:v>Alta - data explícita no rótulo</x:v>
      </x:c>
      <x:c r="K57" s="131" t="str">
        <x:v>Alta</x:v>
      </x:c>
      <x:c r="L57" s="131" t="str">
        <x:v>Magnesium Citrate\Mockup &amp; Label\Magnesium Citrate -Impressão.pdf</x:v>
      </x:c>
      <x:c r="M57" s="131" t="str">
        <x:v>Magnesium Citrate\Mockup &amp; Label\Magnesium Citrate -Impressão.pdf</x:v>
      </x:c>
      <x:c r="N57" s="131" t="str"/>
    </x:row>
    <x:row r="58" ht="58" customHeight="1">
      <x:c r="A58" s="131" t="str">
        <x:v>Magnesium Glycinate</x:v>
      </x:c>
      <x:c r="B58" s="131" t="str">
        <x:v>Magnesium Glycinate</x:v>
      </x:c>
      <x:c r="C58" s="131" t="str">
        <x:v>Ativo</x:v>
      </x:c>
      <x:c r="D58" s="131" t="str">
        <x:v>240 CAPS</x:v>
      </x:c>
      <x:c r="E58" s="131" t="str">
        <x:v>2 Capsules</x:v>
      </x:c>
      <x:c r="F58" s="132" t="n">
        <x:v>120</x:v>
      </x:c>
      <x:c r="G58" s="131" t="str">
        <x:v>Magnesium (as magnesium glycinate) 70mg 17%
Magnesium Glycinate 500mg *</x:v>
      </x:c>
      <x:c r="H58" s="133" t="n">
        <x:v>47150</x:v>
      </x:c>
      <x:c r="I58" s="131" t="str">
        <x:v>BR-2026-0248</x:v>
      </x:c>
      <x:c r="J58" s="131" t="str">
        <x:v>Alta - data explícita no rótulo</x:v>
      </x:c>
      <x:c r="K58" s="131" t="str">
        <x:v>Alta</x:v>
      </x:c>
      <x:c r="L58" s="131" t="str">
        <x:v>Magnesium Glycinate\Mockup &amp; Label\Magnesium Glycinate - Impressão.pdf</x:v>
      </x:c>
      <x:c r="M58" s="131" t="str">
        <x:v>Magnesium Glycinate\Mockup &amp; Label\Magnesium Glycinate - Impressão.pdf</x:v>
      </x:c>
      <x:c r="N58" s="131" t="str"/>
    </x:row>
    <x:row r="59" ht="58" customHeight="1">
      <x:c r="A59" s="131" t="str">
        <x:v>Magnesium Oxide</x:v>
      </x:c>
      <x:c r="B59" s="131" t="str">
        <x:v>Magnesium Oxide</x:v>
      </x:c>
      <x:c r="C59" s="131" t="str">
        <x:v>Ativo</x:v>
      </x:c>
      <x:c r="D59" s="131" t="str">
        <x:v>240 CAPS</x:v>
      </x:c>
      <x:c r="E59" s="131" t="str">
        <x:v>2 Capsules</x:v>
      </x:c>
      <x:c r="F59" s="132" t="n">
        <x:v>120</x:v>
      </x:c>
      <x:c r="G59" s="131" t="str">
        <x:v>Magnesium (as Magnesium Oxide) 300mg 71%
Magnesium Oxide 500mg *</x:v>
      </x:c>
      <x:c r="H59" s="133" t="n">
        <x:v>47150</x:v>
      </x:c>
      <x:c r="I59" s="131" t="str">
        <x:v>BR-2026-0265</x:v>
      </x:c>
      <x:c r="J59" s="131" t="str">
        <x:v>Alta - data explícita no rótulo</x:v>
      </x:c>
      <x:c r="K59" s="131" t="str">
        <x:v>Alta</x:v>
      </x:c>
      <x:c r="L59" s="131" t="str">
        <x:v>Magnesium Oxide\Mockup &amp; Label\Magnesium Oxide - Impressão.pdf</x:v>
      </x:c>
      <x:c r="M59" s="131" t="str">
        <x:v>Magnesium Oxide\Mockup &amp; Label\Magnesium Oxide - Impressão.pdf</x:v>
      </x:c>
      <x:c r="N59" s="131" t="str"/>
    </x:row>
    <x:row r="60" ht="58" customHeight="1">
      <x:c r="A60" s="131" t="str">
        <x:v>Melatonin</x:v>
      </x:c>
      <x:c r="B60" s="131" t="str">
        <x:v>Melatonin 10mg 300Tablets Berryflavor</x:v>
      </x:c>
      <x:c r="C60" s="131" t="str">
        <x:v>Ativo</x:v>
      </x:c>
      <x:c r="D60" s="131" t="str">
        <x:v>300 Tablets</x:v>
      </x:c>
      <x:c r="E60" s="131" t="str">
        <x:v>2 Tablets</x:v>
      </x:c>
      <x:c r="F60" s="132" t="n">
        <x:v>150</x:v>
      </x:c>
      <x:c r="G60" s="131" t="str">
        <x:v>Melatonin 10mg *</x:v>
      </x:c>
      <x:c r="H60" s="133" t="n">
        <x:v>47150</x:v>
      </x:c>
      <x:c r="I60" s="131" t="str">
        <x:v>2034-9015600</x:v>
      </x:c>
      <x:c r="J60" s="131" t="str">
        <x:v>Alta - data explícita no rótulo</x:v>
      </x:c>
      <x:c r="K60" s="131" t="str">
        <x:v>Média</x:v>
      </x:c>
      <x:c r="L60" s="131" t="str">
        <x:v>Melatonin\Melatonin 10mg 300Tablets Berryflavor\Mockup &amp; Label\Melatonin 10mg tablet - Impressão.pdf</x:v>
      </x:c>
      <x:c r="M60" s="131" t="str">
        <x:v>Melatonin\Melatonin 10mg 300Tablets Berryflavor\Mockup &amp; Label\Melatonin 10mg tablet - Impressão.pdf</x:v>
      </x:c>
      <x:c r="N60" s="131" t="str">
        <x:v>Lote extraído de texto vetorial; confirmar visualmente antes de uso operacional.</x:v>
      </x:c>
    </x:row>
    <x:row r="61" ht="58" customHeight="1">
      <x:c r="A61" s="131" t="str">
        <x:v>Melatonin</x:v>
      </x:c>
      <x:c r="B61" s="131" t="str">
        <x:v>Melatonin 5mg 300Tablets Berryflavor</x:v>
      </x:c>
      <x:c r="C61" s="131" t="str">
        <x:v>Ativo</x:v>
      </x:c>
      <x:c r="D61" s="131" t="str">
        <x:v>300 Tablets</x:v>
      </x:c>
      <x:c r="E61" s="131" t="str">
        <x:v>2 Tablets</x:v>
      </x:c>
      <x:c r="F61" s="132" t="n">
        <x:v>150</x:v>
      </x:c>
      <x:c r="G61" s="131" t="str">
        <x:v>Melatonin 5mg *</x:v>
      </x:c>
      <x:c r="H61" s="133" t="n">
        <x:v>47150</x:v>
      </x:c>
      <x:c r="I61" s="131" t="str">
        <x:v>2034-9015600</x:v>
      </x:c>
      <x:c r="J61" s="131" t="str">
        <x:v>Alta - data explícita no rótulo</x:v>
      </x:c>
      <x:c r="K61" s="131" t="str">
        <x:v>Média</x:v>
      </x:c>
      <x:c r="L61" s="131" t="str">
        <x:v>Melatonin\Melatonin 5mg 300Tablets Berryflavor\Mockup &amp; Label\Melatonin 5mg tablet - Padrão.pdf</x:v>
      </x:c>
      <x:c r="M61" s="131" t="str">
        <x:v>Melatonin\Melatonin 5mg 300Tablets Berryflavor\Mockup &amp; Label\Melatonin 5mg tablet - Padrão.pdf</x:v>
      </x:c>
      <x:c r="N61" s="131" t="str">
        <x:v>Lote extraído de texto vetorial; confirmar visualmente antes de uso operacional.</x:v>
      </x:c>
    </x:row>
    <x:row r="62" ht="58" customHeight="1">
      <x:c r="A62" s="131" t="str">
        <x:v>Melatonin</x:v>
      </x:c>
      <x:c r="B62" s="131" t="str">
        <x:v>Melatonin 60mg 90Capsules</x:v>
      </x:c>
      <x:c r="C62" s="131" t="str">
        <x:v>Ativo</x:v>
      </x:c>
      <x:c r="D62" s="131" t="str">
        <x:v>90 Capsules</x:v>
      </x:c>
      <x:c r="E62" s="131" t="str">
        <x:v>1 Capsule</x:v>
      </x:c>
      <x:c r="F62" s="132" t="n">
        <x:v>90</x:v>
      </x:c>
      <x:c r="G62" s="131" t="str">
        <x:v>Melatonin 60mg *</x:v>
      </x:c>
      <x:c r="H62" s="133" t="n">
        <x:v>47150</x:v>
      </x:c>
      <x:c r="I62" s="131" t="str">
        <x:v>BR-2026-0298</x:v>
      </x:c>
      <x:c r="J62" s="131" t="str">
        <x:v>Alta - data explícita no rótulo</x:v>
      </x:c>
      <x:c r="K62" s="131" t="str">
        <x:v>Média</x:v>
      </x:c>
      <x:c r="L62" s="131" t="str">
        <x:v>Melatonin\Melatonin 60mg 90Capsules\Mockup &amp; Label\Melatonin 60 - Impressão.pdf</x:v>
      </x:c>
      <x:c r="M62" s="131" t="str">
        <x:v>Melatonin\Melatonin 60mg 90Capsules\Mockup &amp; Label\Melatonin 60 - Impressão.pdf</x:v>
      </x:c>
      <x:c r="N62" s="131" t="str">
        <x:v>Lote extraído de texto vetorial; confirmar visualmente antes de uso operacional.</x:v>
      </x:c>
    </x:row>
    <x:row r="63" ht="58" customHeight="1">
      <x:c r="A63" s="131" t="str">
        <x:v>Melatonin</x:v>
      </x:c>
      <x:c r="B63" s="131" t="str">
        <x:v>Melatonin 60mg C2 180capsules (2 Bottles)</x:v>
      </x:c>
      <x:c r="C63" s="131" t="str">
        <x:v>Ativo / Multipack</x:v>
      </x:c>
      <x:c r="D63" s="131" t="str">
        <x:v>180 capsules</x:v>
      </x:c>
      <x:c r="E63" s="131" t="str">
        <x:v>1 Capsule</x:v>
      </x:c>
      <x:c r="F63" s="132" t="n">
        <x:v>90</x:v>
      </x:c>
      <x:c r="G63" s="131" t="str">
        <x:v>Melatonin 60mg *</x:v>
      </x:c>
      <x:c r="H63" s="133" t="n">
        <x:v>47150</x:v>
      </x:c>
      <x:c r="I63" s="131" t="str">
        <x:v>BR-2026-0298</x:v>
      </x:c>
      <x:c r="J63" s="131" t="str">
        <x:v>Alta - data explícita no rótulo</x:v>
      </x:c>
      <x:c r="K63" s="131" t="str">
        <x:v>Média</x:v>
      </x:c>
      <x:c r="L63" s="131" t="str">
        <x:v>Melatonin\Melatonin 60mg C2 180capsules (2 Bottles)\Mockup &amp; Label\Melatonin 60 - Impressão.pdf</x:v>
      </x:c>
      <x:c r="M63" s="131" t="str">
        <x:v>Melatonin\Melatonin 60mg C2 180capsules (2 Bottles)\Mockup &amp; Label\Melatonin 60 - Impressão.pdf</x:v>
      </x:c>
      <x:c r="N63" s="131" t="str">
        <x:v>Lote extraído de texto vetorial; confirmar visualmente antes de uso operacional.</x:v>
      </x:c>
    </x:row>
    <x:row r="64" ht="58" customHeight="1">
      <x:c r="A64" s="131" t="str">
        <x:v>Melatonin</x:v>
      </x:c>
      <x:c r="B64" s="131" t="str">
        <x:v>Melatonin Complex 20mg 150capsules</x:v>
      </x:c>
      <x:c r="C64" s="131" t="str">
        <x:v>Ativo</x:v>
      </x:c>
      <x:c r="D64" s="131" t="str">
        <x:v>150 capsules</x:v>
      </x:c>
      <x:c r="E64" s="131" t="str">
        <x:v>1 Capsule</x:v>
      </x:c>
      <x:c r="F64" s="132" t="n">
        <x:v>150</x:v>
      </x:c>
      <x:c r="G64" s="131" t="str">
        <x:v>Melatonin 20mg *
Vitamin B6 (as pyridoxine HCI) 5mg
L-Theanine 25mg
(+ 1 itens na aba Supplement Facts)</x:v>
      </x:c>
      <x:c r="H64" s="133" t="n">
        <x:v>47150</x:v>
      </x:c>
      <x:c r="I64" s="131" t="str">
        <x:v>BR-2026-0215</x:v>
      </x:c>
      <x:c r="J64" s="131" t="str">
        <x:v>Alta - data explícita no rótulo</x:v>
      </x:c>
      <x:c r="K64" s="131" t="str">
        <x:v>Alta</x:v>
      </x:c>
      <x:c r="L64" s="131" t="str">
        <x:v>Melatonin\Melatonin Complex 20mg 150capsules\Mockup &amp; Label\Melatonin 20mg - Impressão.pdf</x:v>
      </x:c>
      <x:c r="M64" s="131" t="str">
        <x:v>Melatonin\Melatonin Complex 20mg 150capsules\Mockup &amp; Label\Melatonin 20mg - Impressão.pdf</x:v>
      </x:c>
      <x:c r="N64" s="131" t="str"/>
    </x:row>
    <x:row r="65" ht="58" customHeight="1">
      <x:c r="A65" s="131" t="str">
        <x:v>Mullein Leaf</x:v>
      </x:c>
      <x:c r="B65" s="131" t="str">
        <x:v>Mullein Leaf</x:v>
      </x:c>
      <x:c r="C65" s="131" t="str">
        <x:v>Ativo</x:v>
      </x:c>
      <x:c r="D65" s="131" t="str">
        <x:v>200 CAPS</x:v>
      </x:c>
      <x:c r="E65" s="131" t="str">
        <x:v>2 Capsules</x:v>
      </x:c>
      <x:c r="F65" s="132" t="n">
        <x:v>100</x:v>
      </x:c>
      <x:c r="G65" s="131" t="str">
        <x:v>Mullein Leaf Extract 300mg (0.3g) *
**(10:1 extract, equivalent to 3,000mg of raw</x:v>
      </x:c>
      <x:c r="H65" s="133" t="n">
        <x:v>47453</x:v>
      </x:c>
      <x:c r="I65" s="131" t="str">
        <x:v>BR-2026-0288</x:v>
      </x:c>
      <x:c r="J65" s="131" t="str">
        <x:v>Alta - data explícita no rótulo</x:v>
      </x:c>
      <x:c r="K65" s="131" t="str">
        <x:v>Alta</x:v>
      </x:c>
      <x:c r="L65" s="131" t="str">
        <x:v>Mullein Leaf\Mockup &amp; Label\Mullen Leaf - Impressão.pdf</x:v>
      </x:c>
      <x:c r="M65" s="131" t="str">
        <x:v>Mullein Leaf\Mockup &amp; Label\Mullen Leaf - Impressão.pdf</x:v>
      </x:c>
      <x:c r="N65" s="131" t="str"/>
    </x:row>
    <x:row r="66" ht="58" customHeight="1">
      <x:c r="A66" s="131" t="str">
        <x:v>Multi Collagen</x:v>
      </x:c>
      <x:c r="B66" s="131" t="str">
        <x:v>Multi Collagen</x:v>
      </x:c>
      <x:c r="C66" s="131" t="str">
        <x:v>Ativo</x:v>
      </x:c>
      <x:c r="D66" s="131" t="str">
        <x:v>90 Capsules</x:v>
      </x:c>
      <x:c r="E66" s="131" t="str">
        <x:v>3 Capsules</x:v>
      </x:c>
      <x:c r="F66" s="132" t="n">
        <x:v>30</x:v>
      </x:c>
      <x:c r="G66" s="131" t="str">
        <x:v>600mg (0.60g)
1000mg (1g)</x:v>
      </x:c>
      <x:c r="H66" s="133" t="n">
        <x:v>47300</x:v>
      </x:c>
      <x:c r="I66" s="131" t="str">
        <x:v>2002-20015600</x:v>
      </x:c>
      <x:c r="J66" s="131" t="str">
        <x:v>Alta - data explícita no rótulo</x:v>
      </x:c>
      <x:c r="K66" s="131" t="str">
        <x:v>Média</x:v>
      </x:c>
      <x:c r="L66" s="131" t="str">
        <x:v>Multi Collagen\Mockup &amp; Label\Multi Collagen - Impressão.pdf</x:v>
      </x:c>
      <x:c r="M66" s="131" t="str">
        <x:v>Multi Collagen\Mockup &amp; Label\Multi Collagen - Impressão.pdf</x:v>
      </x:c>
      <x:c r="N66" s="131" t="str">
        <x:v>Lote extraído de texto vetorial; confirmar visualmente antes de uso operacional.</x:v>
      </x:c>
    </x:row>
    <x:row r="67" ht="58" customHeight="1">
      <x:c r="A67" s="131" t="str">
        <x:v>Multi Collagen Protein</x:v>
      </x:c>
      <x:c r="B67" s="131" t="str">
        <x:v>Multi Collagen Protein</x:v>
      </x:c>
      <x:c r="C67" s="131" t="str">
        <x:v>Ativo</x:v>
      </x:c>
      <x:c r="D67" s="131" t="str">
        <x:v>180 CAPS</x:v>
      </x:c>
      <x:c r="E67" s="131" t="str">
        <x:v>3 Capsules</x:v>
      </x:c>
      <x:c r="F67" s="132" t="n">
        <x:v>60</x:v>
      </x:c>
      <x:c r="G67" s="131" t="str">
        <x:v>Multi Collagen Blend 2000mg (2g)*</x:v>
      </x:c>
      <x:c r="H67" s="133" t="n">
        <x:v>47270</x:v>
      </x:c>
      <x:c r="I67" s="131" t="str">
        <x:v>2015-20015600</x:v>
      </x:c>
      <x:c r="J67" s="131" t="str">
        <x:v>Alta - data explícita no rótulo</x:v>
      </x:c>
      <x:c r="K67" s="131" t="str">
        <x:v>Média</x:v>
      </x:c>
      <x:c r="L67" s="131" t="str">
        <x:v>Multi Collagen Protein\Mockup &amp; Label\Multi Collagen Protein  - Impressão.pdf</x:v>
      </x:c>
      <x:c r="M67" s="131" t="str">
        <x:v>Multi Collagen Protein\Mockup &amp; Label\Multi Collagen Protein  - Impressão.pdf</x:v>
      </x:c>
      <x:c r="N67" s="131" t="str">
        <x:v>Lote extraído de texto vetorial; confirmar visualmente antes de uso operacional.</x:v>
      </x:c>
    </x:row>
    <x:row r="68" ht="58" customHeight="1">
      <x:c r="A68" s="131" t="str">
        <x:v>Mushroom Blend</x:v>
      </x:c>
      <x:c r="B68" s="131" t="str">
        <x:v>Mushroom Blend</x:v>
      </x:c>
      <x:c r="C68" s="131" t="str">
        <x:v>Ativo</x:v>
      </x:c>
      <x:c r="D68" s="131" t="str">
        <x:v>60 Capsules</x:v>
      </x:c>
      <x:c r="E68" s="131" t="str">
        <x:v>2 Capsules</x:v>
      </x:c>
      <x:c r="F68" s="132" t="n">
        <x:v>30</x:v>
      </x:c>
      <x:c r="G68" s="131" t="str">
        <x:v>900 mg *
3,000 mg *
1,500 mg *
(+ 1 itens na aba Supplement Facts)</x:v>
      </x:c>
      <x:c r="H68" s="133" t="n">
        <x:v>47300</x:v>
      </x:c>
      <x:c r="I68" s="131" t="str">
        <x:v>2002-20015600</x:v>
      </x:c>
      <x:c r="J68" s="131" t="str">
        <x:v>Alta - data explícita no rótulo</x:v>
      </x:c>
      <x:c r="K68" s="131" t="str">
        <x:v>Média</x:v>
      </x:c>
      <x:c r="L68" s="131" t="str">
        <x:v>Mushroom Blend\Mockup &amp; Label\mushroom-blend - Impressão.ai</x:v>
      </x:c>
      <x:c r="M68" s="131" t="str">
        <x:v>Mushroom Blend\Mockup &amp; Label\mushroom-blend - Impressão.ai</x:v>
      </x:c>
      <x:c r="N68" s="131" t="str">
        <x:v>Lote extraído de texto vetorial; confirmar visualmente antes de uso operacional.</x:v>
      </x:c>
    </x:row>
    <x:row r="69" ht="58" customHeight="1">
      <x:c r="A69" s="131" t="str">
        <x:v>Myo Inositol</x:v>
      </x:c>
      <x:c r="B69" s="131" t="str">
        <x:v>Myo Inositol</x:v>
      </x:c>
      <x:c r="C69" s="131" t="str">
        <x:v>Ativo</x:v>
      </x:c>
      <x:c r="D69" s="131" t="str">
        <x:v>200 CAPS</x:v>
      </x:c>
      <x:c r="E69" s="131" t="str">
        <x:v>4 Capsules</x:v>
      </x:c>
      <x:c r="F69" s="132" t="n">
        <x:v>50</x:v>
      </x:c>
      <x:c r="G69" s="131" t="str">
        <x:v>2,600mg (2.6g) *</x:v>
      </x:c>
      <x:c r="H69" s="133" t="n">
        <x:v>47178</x:v>
      </x:c>
      <x:c r="I69" s="131" t="str">
        <x:v>BR-2026-0222</x:v>
      </x:c>
      <x:c r="J69" s="131" t="str">
        <x:v>Alta - data explícita no rótulo</x:v>
      </x:c>
      <x:c r="K69" s="131" t="str">
        <x:v>Alta</x:v>
      </x:c>
      <x:c r="L69" s="131" t="str">
        <x:v>Myo Inositol\Mockup &amp; Label\Myo Inositol - Impressão.pdf</x:v>
      </x:c>
      <x:c r="M69" s="131" t="str">
        <x:v>Myo Inositol\Mockup &amp; Label\Myo Inositol - Impressão.pdf</x:v>
      </x:c>
      <x:c r="N69" s="131" t="str"/>
    </x:row>
    <x:row r="70" ht="58" customHeight="1">
      <x:c r="A70" s="131" t="str">
        <x:v>NAC</x:v>
      </x:c>
      <x:c r="B70" s="131" t="str">
        <x:v>NAC 1000mg 240caps</x:v>
      </x:c>
      <x:c r="C70" s="131" t="str">
        <x:v>Ativo</x:v>
      </x:c>
      <x:c r="D70" s="131" t="str">
        <x:v>240 caps</x:v>
      </x:c>
      <x:c r="E70" s="131" t="str">
        <x:v>3 Vegetarian Capsules</x:v>
      </x:c>
      <x:c r="F70" s="132" t="n">
        <x:v>80</x:v>
      </x:c>
      <x:c r="G70" s="131" t="str">
        <x:v>N-Acetyl-L-Cysteine (NAC) 1000mg (1g) *</x:v>
      </x:c>
      <x:c r="H70" s="133" t="n">
        <x:v>47178</x:v>
      </x:c>
      <x:c r="I70" s="131" t="str">
        <x:v>04202478</x:v>
      </x:c>
      <x:c r="J70" s="131" t="str">
        <x:v>Alta - data explícita no rótulo</x:v>
      </x:c>
      <x:c r="K70" s="131" t="str">
        <x:v>Média</x:v>
      </x:c>
      <x:c r="L70" s="131" t="str">
        <x:v>NAC\NAC 1000mg 240caps\Mockup &amp; Label\NAC 1000MG - Padrão.pdf</x:v>
      </x:c>
      <x:c r="M70" s="131" t="str">
        <x:v>NAC\NAC 1000mg 240caps\Mockup &amp; Label\NAC 1000MG - Padrão.pdf</x:v>
      </x:c>
      <x:c r="N70" s="131" t="str">
        <x:v>Lote extraído de texto vetorial; confirmar visualmente antes de uso operacional.</x:v>
      </x:c>
    </x:row>
    <x:row r="71" ht="58" customHeight="1">
      <x:c r="A71" s="131" t="str">
        <x:v>NAC</x:v>
      </x:c>
      <x:c r="B71" s="131" t="str">
        <x:v>NAC 1300mg 240caps</x:v>
      </x:c>
      <x:c r="C71" s="131" t="str">
        <x:v>Ativo</x:v>
      </x:c>
      <x:c r="D71" s="131" t="str">
        <x:v>240 caps</x:v>
      </x:c>
      <x:c r="E71" s="131" t="str">
        <x:v>3 Vegetarian Capsules</x:v>
      </x:c>
      <x:c r="F71" s="132" t="n">
        <x:v>80</x:v>
      </x:c>
      <x:c r="G71" s="131" t="str">
        <x:v>N-Acetyl-L-Cysteine (NAC) 1300mg (1,3g) *</x:v>
      </x:c>
      <x:c r="H71" s="133" t="n">
        <x:v>47178</x:v>
      </x:c>
      <x:c r="I71" s="131" t="str">
        <x:v>BR-2026-0309</x:v>
      </x:c>
      <x:c r="J71" s="131" t="str">
        <x:v>Alta - data explícita no rótulo</x:v>
      </x:c>
      <x:c r="K71" s="131" t="str">
        <x:v>Alta</x:v>
      </x:c>
      <x:c r="L71" s="131" t="str">
        <x:v>NAC\NAC 1300mg 240caps\Mockup &amp; Label\NAC 1300MG - Impressão.pdf</x:v>
      </x:c>
      <x:c r="M71" s="131" t="str">
        <x:v>NAC\NAC 1300mg 240caps\Mockup &amp; Label\NAC 1300MG - Impressão.pdf</x:v>
      </x:c>
      <x:c r="N71" s="131" t="str"/>
    </x:row>
    <x:row r="72" ht="58" customHeight="1">
      <x:c r="A72" s="131" t="str">
        <x:v>NAC</x:v>
      </x:c>
      <x:c r="B72" s="131" t="str">
        <x:v>NAC 600mg 200caps</x:v>
      </x:c>
      <x:c r="C72" s="131" t="str">
        <x:v>Ativo</x:v>
      </x:c>
      <x:c r="D72" s="131" t="str">
        <x:v>200 caps</x:v>
      </x:c>
      <x:c r="E72" s="131" t="str">
        <x:v>3 Vegetarian Capsules</x:v>
      </x:c>
      <x:c r="F72" s="132" t="n">
        <x:v>66</x:v>
      </x:c>
      <x:c r="G72" s="131" t="str">
        <x:v>N-Acetyl-L-Cysteine (NAC) 600mg (0.6g) *</x:v>
      </x:c>
      <x:c r="H72" s="133" t="n">
        <x:v>47178</x:v>
      </x:c>
      <x:c r="I72" s="131" t="str">
        <x:v>86421196</x:v>
      </x:c>
      <x:c r="J72" s="131" t="str">
        <x:v>Alta - data explícita no rótulo</x:v>
      </x:c>
      <x:c r="K72" s="131" t="str">
        <x:v>Média</x:v>
      </x:c>
      <x:c r="L72" s="131" t="str">
        <x:v>NAC\NAC 600mg 200caps\Mockup &amp; Label\NAC 600MG - Impressão.pdf</x:v>
      </x:c>
      <x:c r="M72" s="131" t="str">
        <x:v>NAC\NAC 600mg 200caps\Mockup &amp; Label\NAC 600MG - Impressão.pdf</x:v>
      </x:c>
      <x:c r="N72" s="131" t="str">
        <x:v>Lote extraído de texto vetorial; confirmar visualmente antes de uso operacional.</x:v>
      </x:c>
    </x:row>
    <x:row r="73" ht="58" customHeight="1">
      <x:c r="A73" s="131" t="str">
        <x:v>NAD+ Celluvance</x:v>
      </x:c>
      <x:c r="B73" s="131" t="str">
        <x:v>NAD+Celluvance 10,573mg 120capsules</x:v>
      </x:c>
      <x:c r="C73" s="131" t="str">
        <x:v>Ativo</x:v>
      </x:c>
      <x:c r="D73" s="131" t="str">
        <x:v>120 capsules</x:v>
      </x:c>
      <x:c r="E73" s="131" t="str">
        <x:v>2 Capsules</x:v>
      </x:c>
      <x:c r="F73" s="132" t="n">
        <x:v>60</x:v>
      </x:c>
      <x:c r="G73" s="131" t="str">
        <x:v>10,073mg (10g) *Celluvance™ Proprietary Blend
NAD+ 500mg (0.5g) *</x:v>
      </x:c>
      <x:c r="H73" s="133" t="n">
        <x:v>47300</x:v>
      </x:c>
      <x:c r="I73" s="131" t="str">
        <x:v>BR-2026-0317</x:v>
      </x:c>
      <x:c r="J73" s="131" t="str">
        <x:v>Alta - data explícita no rótulo</x:v>
      </x:c>
      <x:c r="K73" s="131" t="str">
        <x:v>Alta</x:v>
      </x:c>
      <x:c r="L73" s="131" t="str">
        <x:v>NAD+ Celluvance\NAD+Celluvance 10,573mg 120capsules\Mockup &amp; Label\NAD+ Celluvance 120 - Impressão.pdf</x:v>
      </x:c>
      <x:c r="M73" s="131" t="str">
        <x:v>NAD+ Celluvance\NAD+Celluvance 10,573mg 120capsules\Mockup &amp; Label\NAD+ Celluvance 120 - Impressão.pdf</x:v>
      </x:c>
      <x:c r="N73" s="131" t="str"/>
    </x:row>
    <x:row r="74" ht="58" customHeight="1">
      <x:c r="A74" s="131" t="str">
        <x:v>NaturWel</x:v>
      </x:c>
      <x:c r="B74" s="131" t="str">
        <x:v>GlucoBalance 90 Caps</x:v>
      </x:c>
      <x:c r="C74" s="131" t="str">
        <x:v>Ativo</x:v>
      </x:c>
      <x:c r="D74" s="131" t="str">
        <x:v>90 Capsules</x:v>
      </x:c>
      <x:c r="E74" s="131" t="str">
        <x:v>2 Capsules</x:v>
      </x:c>
      <x:c r="F74" s="132" t="n">
        <x:v>45</x:v>
      </x:c>
      <x:c r="G74" s="131" t="str">
        <x:v>Zinc (as zinc oxide) - 50 mg
Chromium (as chromium HVP chelate) - 1,000 mcg
Apple Cider Vinegar (100:1) - 400 mg
(+ 7 itens na aba Supplement Facts)</x:v>
      </x:c>
      <x:c r="H74" s="133" t="n">
        <x:v>47270</x:v>
      </x:c>
      <x:c r="I74" s="131" t="str">
        <x:v>3010-9019800</x:v>
      </x:c>
      <x:c r="J74" s="131" t="str">
        <x:v>Alta - revisão visual do rótulo</x:v>
      </x:c>
      <x:c r="K74" s="131" t="str">
        <x:v>Alta - revisão visual do rótulo</x:v>
      </x:c>
      <x:c r="L74" s="131" t="str">
        <x:v>NaturWel\GlucoBalance 90 Caps\Label\GlucoBalance 90 Caps_OL.pdf</x:v>
      </x:c>
      <x:c r="M74" s="131" t="str">
        <x:v>NaturWel\GlucoBalance 90 Caps\Label\GlucoBalance 90 Caps_OL.pdf</x:v>
      </x:c>
      <x:c r="N74" s="131" t="str">
        <x:v>Rótulo com texto convertido em contornos; dados transcritos por revisão visual.</x:v>
      </x:c>
    </x:row>
    <x:row r="75" ht="58" customHeight="1">
      <x:c r="A75" s="131" t="str">
        <x:v>NaturWel</x:v>
      </x:c>
      <x:c r="B75" s="131" t="str">
        <x:v>LibiDoer 90 Caps</x:v>
      </x:c>
      <x:c r="C75" s="131" t="str">
        <x:v>Ativo</x:v>
      </x:c>
      <x:c r="D75" s="131" t="str">
        <x:v>90 Capsules</x:v>
      </x:c>
      <x:c r="E75" s="131" t="str">
        <x:v>2 Capsules</x:v>
      </x:c>
      <x:c r="F75" s="132" t="n">
        <x:v>45</x:v>
      </x:c>
      <x:c r="G75" s="131" t="str">
        <x:v>Ashwagandha (Withania somnifera) (100:1) - 2,500 mg
Fenugreek (Trigonella foenum-graecum) seed (100:1) - 2,400 mg
Maca Blend proprietary blend - 5,400 mg
(+ 3 itens na aba Supplement Facts)</x:v>
      </x:c>
      <x:c r="H75" s="133" t="n">
        <x:v>47270</x:v>
      </x:c>
      <x:c r="I75" s="131" t="str">
        <x:v>3005-9019800</x:v>
      </x:c>
      <x:c r="J75" s="131" t="str">
        <x:v>Alta - revisão visual do rótulo</x:v>
      </x:c>
      <x:c r="K75" s="131" t="str">
        <x:v>Alta - revisão visual do rótulo</x:v>
      </x:c>
      <x:c r="L75" s="131" t="str">
        <x:v>NaturWel\LibiDoer 90 Caps\Label\LibiDoer 90 Caps_Updated_OL.pdf</x:v>
      </x:c>
      <x:c r="M75" s="131" t="str">
        <x:v>NaturWel\LibiDoer 90 Caps\Label\LibiDoer 90 Caps_Updated_OL.pdf</x:v>
      </x:c>
      <x:c r="N75" s="131" t="str">
        <x:v>Rótulo com texto convertido em contornos; dados transcritos por revisão visual.</x:v>
      </x:c>
    </x:row>
    <x:row r="76" ht="58" customHeight="1">
      <x:c r="A76" s="131" t="str">
        <x:v>NaturWel</x:v>
      </x:c>
      <x:c r="B76" s="131" t="str">
        <x:v>NaturElixir 90 Caps</x:v>
      </x:c>
      <x:c r="C76" s="131" t="str">
        <x:v>Ativo</x:v>
      </x:c>
      <x:c r="D76" s="131" t="str">
        <x:v>90 Capsules</x:v>
      </x:c>
      <x:c r="E76" s="131" t="str">
        <x:v>3 Capsules</x:v>
      </x:c>
      <x:c r="F76" s="132" t="n">
        <x:v>30</x:v>
      </x:c>
      <x:c r="G76" s="131" t="str">
        <x:v>Vitamin C (as ascorbic acid) - 90 mg
Vitamin E - 15 mg
Folate - 1,000 mcg
(+ 7 itens na aba Supplement Facts)</x:v>
      </x:c>
      <x:c r="H76" s="133" t="n">
        <x:v>47270</x:v>
      </x:c>
      <x:c r="I76" s="131" t="str">
        <x:v>3015-9019800</x:v>
      </x:c>
      <x:c r="J76" s="131" t="str">
        <x:v>Alta - revisão visual do rótulo</x:v>
      </x:c>
      <x:c r="K76" s="131" t="str">
        <x:v>Alta - revisão visual do rótulo</x:v>
      </x:c>
      <x:c r="L76" s="131" t="str">
        <x:v>NaturWel\NaturElixir 90 Caps\Label\NaturElixir 90 Caps_Updated_OL.pdf</x:v>
      </x:c>
      <x:c r="M76" s="131" t="str">
        <x:v>NaturWel\NaturElixir 90 Caps\Label\NaturElixir 90 Caps_Updated_OL.pdf</x:v>
      </x:c>
      <x:c r="N76" s="131" t="str">
        <x:v>Rótulo com texto convertido em contornos; dados transcritos por revisão visual.</x:v>
      </x:c>
    </x:row>
    <x:row r="77" ht="58" customHeight="1">
      <x:c r="A77" s="131" t="str">
        <x:v>NaturWel</x:v>
      </x:c>
      <x:c r="B77" s="131" t="str">
        <x:v>NaturMinerals 90 caps</x:v>
      </x:c>
      <x:c r="C77" s="131" t="str">
        <x:v>Ativo</x:v>
      </x:c>
      <x:c r="D77" s="131" t="str">
        <x:v>90 Capsules</x:v>
      </x:c>
      <x:c r="E77" s="131" t="str">
        <x:v>2 Capsules</x:v>
      </x:c>
      <x:c r="F77" s="132" t="n">
        <x:v>45</x:v>
      </x:c>
      <x:c r="G77" s="131" t="str">
        <x:v>Vitamin C (as ascorbic acid) - 90 mg
Vitamin D3 - 25 mcg (1,000 IU)
Sea Moss whole plant extract (100:1) - 3,000 mg
(+ 10 itens na aba Supplement Facts)</x:v>
      </x:c>
      <x:c r="H77" s="133" t="n">
        <x:v>47270</x:v>
      </x:c>
      <x:c r="I77" s="131" t="str">
        <x:v>3000-9019800</x:v>
      </x:c>
      <x:c r="J77" s="131" t="str">
        <x:v>Alta - revisão visual do rótulo</x:v>
      </x:c>
      <x:c r="K77" s="131" t="str">
        <x:v>Alta - revisão visual do rótulo</x:v>
      </x:c>
      <x:c r="L77" s="131" t="str">
        <x:v>NaturWel\NaturMinerals 90 caps\Label\NaturMinerals 90 Caps_OL.pdf</x:v>
      </x:c>
      <x:c r="M77" s="131" t="str">
        <x:v>NaturWel\NaturMinerals 90 caps\Label\NaturMinerals 90 Caps_OL.pdf</x:v>
      </x:c>
      <x:c r="N77" s="131" t="str">
        <x:v>Rótulo com texto convertido em contornos; dados transcritos por revisão visual.</x:v>
      </x:c>
    </x:row>
    <x:row r="78" ht="58" customHeight="1">
      <x:c r="A78" s="131" t="str">
        <x:v>NaturWel</x:v>
      </x:c>
      <x:c r="B78" s="131" t="str">
        <x:v>NaturShrooms 90 Caps</x:v>
      </x:c>
      <x:c r="C78" s="131" t="str">
        <x:v>Ativo</x:v>
      </x:c>
      <x:c r="D78" s="131" t="str">
        <x:v>90 Capsules</x:v>
      </x:c>
      <x:c r="E78" s="131" t="str">
        <x:v>2 Capsules</x:v>
      </x:c>
      <x:c r="F78" s="132" t="n">
        <x:v>45</x:v>
      </x:c>
      <x:c r="G78" s="131" t="str">
        <x:v>Lion's Mane Mushroom (Hericium erinaceus) (100:1) - 3,000 mg
Turkey Tail Mushroom (Trametes versicolor) (100:1) - 3,000 mg
Reishi Mushroom (Ganoderma lingzhi) (100:1) - 1,500 mg
(+ 5 itens na aba Supplement Facts)</x:v>
      </x:c>
      <x:c r="H78" s="133" t="n">
        <x:v>47270</x:v>
      </x:c>
      <x:c r="I78" s="131" t="str">
        <x:v>3020-9019800</x:v>
      </x:c>
      <x:c r="J78" s="131" t="str">
        <x:v>Alta - revisão visual do rótulo</x:v>
      </x:c>
      <x:c r="K78" s="131" t="str">
        <x:v>Alta - revisão visual do rótulo</x:v>
      </x:c>
      <x:c r="L78" s="131" t="str">
        <x:v>NaturWel\NaturShrooms 90 Caps\Label\NaturShrooms 90 Caps_OL.pdf</x:v>
      </x:c>
      <x:c r="M78" s="131" t="str">
        <x:v>NaturWel\NaturShrooms 90 Caps\Label\NaturShrooms 90 Caps_OL.pdf</x:v>
      </x:c>
      <x:c r="N78" s="131" t="str">
        <x:v>Rótulo com texto convertido em contornos; dados transcritos por revisão visual.</x:v>
      </x:c>
    </x:row>
    <x:row r="79" ht="58" customHeight="1">
      <x:c r="A79" s="131" t="str">
        <x:v>Panax Ginseng &amp; Ginkgo Biloba</x:v>
      </x:c>
      <x:c r="B79" s="131" t="str">
        <x:v>Panax Ginseng &amp; Ginkgo Biloba</x:v>
      </x:c>
      <x:c r="C79" s="131" t="str">
        <x:v>Ativo</x:v>
      </x:c>
      <x:c r="D79" s="131" t="str">
        <x:v>150 CAPS</x:v>
      </x:c>
      <x:c r="E79" s="131" t="str">
        <x:v>2 Capsules</x:v>
      </x:c>
      <x:c r="F79" s="132" t="n">
        <x:v>75</x:v>
      </x:c>
      <x:c r="G79" s="131" t="str">
        <x:v>**(100:1 extract, equivalent to 5,000mg of raw
50mg (0.05g) *
**(100:1 extract, equivalent to 2,500mg of raw
(+ 1 itens na aba Supplement Facts)</x:v>
      </x:c>
      <x:c r="H79" s="133" t="n">
        <x:v>47300</x:v>
      </x:c>
      <x:c r="I79" s="131" t="str">
        <x:v>05202494</x:v>
      </x:c>
      <x:c r="J79" s="131" t="str">
        <x:v>Alta - data explícita no rótulo</x:v>
      </x:c>
      <x:c r="K79" s="131" t="str">
        <x:v>Média</x:v>
      </x:c>
      <x:c r="L79" s="131" t="str">
        <x:v>Panax Ginseng &amp; Ginkgo Biloba\Mockup &amp; Label\Panax Ginseng &amp; Ginkgo Biloba - Impressão.pdf</x:v>
      </x:c>
      <x:c r="M79" s="131" t="str">
        <x:v>Panax Ginseng &amp; Ginkgo Biloba\Mockup &amp; Label\Panax Ginseng &amp; Ginkgo Biloba - Impressão.pdf</x:v>
      </x:c>
      <x:c r="N79" s="131" t="str">
        <x:v>Lote extraído de texto vetorial; confirmar visualmente antes de uso operacional.</x:v>
      </x:c>
    </x:row>
    <x:row r="80" ht="58" customHeight="1">
      <x:c r="A80" s="131" t="str">
        <x:v>Pantothenic Acid</x:v>
      </x:c>
      <x:c r="B80" s="131" t="str">
        <x:v>Pantothenic Acid</x:v>
      </x:c>
      <x:c r="C80" s="131" t="str">
        <x:v>Ativo</x:v>
      </x:c>
      <x:c r="D80" s="131" t="str">
        <x:v>200 CAPS</x:v>
      </x:c>
      <x:c r="E80" s="131" t="str">
        <x:v>1 Capsule</x:v>
      </x:c>
      <x:c r="F80" s="132" t="n">
        <x:v>200</x:v>
      </x:c>
      <x:c r="G80" s="131" t="str">
        <x:v>treat, cure, or prevent any disease. Pantothenic Acid (Vitamin B5) 500mg 10,000%</x:v>
      </x:c>
      <x:c r="H80" s="133" t="n">
        <x:v>47362</x:v>
      </x:c>
      <x:c r="I80" s="131" t="str">
        <x:v>2003-20015600</x:v>
      </x:c>
      <x:c r="J80" s="131" t="str">
        <x:v>Alta - data explícita no rótulo</x:v>
      </x:c>
      <x:c r="K80" s="131" t="str">
        <x:v>Média</x:v>
      </x:c>
      <x:c r="L80" s="131" t="str">
        <x:v>Pantothenic Acid\Mockup &amp; Label\Panthotenic Acid - Impressão.ai</x:v>
      </x:c>
      <x:c r="M80" s="131" t="str">
        <x:v>Pantothenic Acid\Mockup &amp; Label\Panthotenic Acid - Impressão.ai</x:v>
      </x:c>
      <x:c r="N80" s="131" t="str">
        <x:v>Lote extraído de texto vetorial; confirmar visualmente antes de uso operacional.</x:v>
      </x:c>
    </x:row>
    <x:row r="81" ht="58" customHeight="1">
      <x:c r="A81" s="131" t="str">
        <x:v>Plant Sterols</x:v>
      </x:c>
      <x:c r="B81" s="131" t="str">
        <x:v>Plant Sterols</x:v>
      </x:c>
      <x:c r="C81" s="131" t="str">
        <x:v>Ativo</x:v>
      </x:c>
      <x:c r="D81" s="131" t="str">
        <x:v>240 CAPS</x:v>
      </x:c>
      <x:c r="E81" s="131" t="str">
        <x:v>4 Capsules</x:v>
      </x:c>
      <x:c r="F81" s="132" t="n">
        <x:v>60</x:v>
      </x:c>
      <x:c r="G81" s="131" t="str">
        <x:v>(Equivalent to 2,000mg of Phytosterols Complex per serving)
2.000mg (2g) *</x:v>
      </x:c>
      <x:c r="H81" s="133" t="n">
        <x:v>47300</x:v>
      </x:c>
      <x:c r="I81" s="131" t="str">
        <x:v>BR-2026-0304</x:v>
      </x:c>
      <x:c r="J81" s="131" t="str">
        <x:v>Alta - data explícita no rótulo</x:v>
      </x:c>
      <x:c r="K81" s="131" t="str">
        <x:v>Alta</x:v>
      </x:c>
      <x:c r="L81" s="131" t="str">
        <x:v>Plant Sterols\Mockup &amp; Label\Plant Sterols - Impressão.pdf</x:v>
      </x:c>
      <x:c r="M81" s="131" t="str">
        <x:v>Plant Sterols\Mockup &amp; Label\Plant Sterols - Impressão.pdf</x:v>
      </x:c>
      <x:c r="N81" s="131" t="str"/>
    </x:row>
    <x:row r="82" ht="58" customHeight="1">
      <x:c r="A82" s="131" t="str">
        <x:v>Potassium Iodide</x:v>
      </x:c>
      <x:c r="B82" s="131" t="str">
        <x:v>Potassium Iodide</x:v>
      </x:c>
      <x:c r="C82" s="131" t="str">
        <x:v>Ativo</x:v>
      </x:c>
      <x:c r="D82" s="131" t="str">
        <x:v>60 TABLETS</x:v>
      </x:c>
      <x:c r="E82" s="131" t="str">
        <x:v>2 Tablets</x:v>
      </x:c>
      <x:c r="F82" s="132" t="n">
        <x:v>30</x:v>
      </x:c>
      <x:c r="G82" s="131" t="str">
        <x:v>Potassium Iodide 130mg *</x:v>
      </x:c>
      <x:c r="H82" s="133" t="n">
        <x:v>48945</x:v>
      </x:c>
      <x:c r="I82" s="131" t="str">
        <x:v>2002-20220315</x:v>
      </x:c>
      <x:c r="J82" s="131" t="str">
        <x:v>Alta - data explícita no rótulo</x:v>
      </x:c>
      <x:c r="K82" s="131" t="str">
        <x:v>Média</x:v>
      </x:c>
      <x:c r="L82" s="131" t="str">
        <x:v>Potassium Iodide\Potassium Iodide\Mockup &amp; Label\Potassium Iodide - Impressão.ai</x:v>
      </x:c>
      <x:c r="M82" s="131" t="str">
        <x:v>Potassium Iodide\Potassium Iodide\Mockup &amp; Label\Potassium Iodide - Impressão.ai</x:v>
      </x:c>
      <x:c r="N82" s="131" t="str">
        <x:v>Lote extraído de texto vetorial; confirmar visualmente antes de uso operacional.</x:v>
      </x:c>
    </x:row>
    <x:row r="83" ht="58" customHeight="1">
      <x:c r="A83" s="131" t="str">
        <x:v>Potassium Iodide</x:v>
      </x:c>
      <x:c r="B83" s="131" t="str">
        <x:v>Potassium Iodide C2</x:v>
      </x:c>
      <x:c r="C83" s="131" t="str">
        <x:v>Ativo / Multipack</x:v>
      </x:c>
      <x:c r="D83" s="131" t="str">
        <x:v>60 TABLETS</x:v>
      </x:c>
      <x:c r="E83" s="131" t="str">
        <x:v>2 Tablets</x:v>
      </x:c>
      <x:c r="F83" s="132" t="n">
        <x:v>30</x:v>
      </x:c>
      <x:c r="G83" s="131" t="str">
        <x:v>Potassium Iodide 130mg *</x:v>
      </x:c>
      <x:c r="H83" s="133" t="n">
        <x:v>48945</x:v>
      </x:c>
      <x:c r="I83" s="131" t="str">
        <x:v>BR-2026-0041</x:v>
      </x:c>
      <x:c r="J83" s="131" t="str">
        <x:v>Alta - data explícita no rótulo</x:v>
      </x:c>
      <x:c r="K83" s="131" t="str">
        <x:v>Média</x:v>
      </x:c>
      <x:c r="L83" s="131" t="str">
        <x:v>Potassium Iodide\Potassium Iodide C2\Mockup &amp; Label\Potassium Iodide - Impressão.pdf</x:v>
      </x:c>
      <x:c r="M83" s="131" t="str">
        <x:v>Potassium Iodide\Potassium Iodide C2\Mockup &amp; Label\Potassium Iodide - Impressão.pdf</x:v>
      </x:c>
      <x:c r="N83" s="131" t="str">
        <x:v>Lote extraído de texto vetorial; confirmar visualmente antes de uso operacional.</x:v>
      </x:c>
    </x:row>
    <x:row r="84" ht="58" customHeight="1">
      <x:c r="A84" s="131" t="str">
        <x:v>Potassium Iodide</x:v>
      </x:c>
      <x:c r="B84" s="131" t="str">
        <x:v>Potassium Iodide C6</x:v>
      </x:c>
      <x:c r="C84" s="131" t="str">
        <x:v>Ativo / Multipack</x:v>
      </x:c>
      <x:c r="D84" s="131" t="str">
        <x:v>60 TABLETS</x:v>
      </x:c>
      <x:c r="E84" s="131" t="str">
        <x:v>2 Tablets</x:v>
      </x:c>
      <x:c r="F84" s="132" t="n">
        <x:v>30</x:v>
      </x:c>
      <x:c r="G84" s="131" t="str">
        <x:v>Potassium Iodide 130mg *</x:v>
      </x:c>
      <x:c r="H84" s="133" t="n">
        <x:v>48945</x:v>
      </x:c>
      <x:c r="I84" s="131" t="str">
        <x:v>BR-2026-0041</x:v>
      </x:c>
      <x:c r="J84" s="131" t="str">
        <x:v>Alta - data explícita no rótulo</x:v>
      </x:c>
      <x:c r="K84" s="131" t="str">
        <x:v>Média</x:v>
      </x:c>
      <x:c r="L84" s="131" t="str">
        <x:v>Potassium Iodide\Potassium Iodide C6\Mockup &amp; Label\Potassium Iodide - Impressão.ai</x:v>
      </x:c>
      <x:c r="M84" s="131" t="str">
        <x:v>Potassium Iodide\Potassium Iodide C6\Mockup &amp; Label\Potassium Iodide - Impressão.ai</x:v>
      </x:c>
      <x:c r="N84" s="131" t="str">
        <x:v>Lote extraído de texto vetorial; confirmar visualmente antes de uso operacional.</x:v>
      </x:c>
    </x:row>
    <x:row r="85" ht="58" customHeight="1">
      <x:c r="A85" s="131" t="str">
        <x:v>Psyllium Husk</x:v>
      </x:c>
      <x:c r="B85" s="131" t="str">
        <x:v>Psyllium Husk</x:v>
      </x:c>
      <x:c r="C85" s="131" t="str">
        <x:v>Ativo</x:v>
      </x:c>
      <x:c r="D85" s="131" t="str">
        <x:v>240 CAPS</x:v>
      </x:c>
      <x:c r="E85" s="131" t="str">
        <x:v>3 Capsules</x:v>
      </x:c>
      <x:c r="F85" s="132" t="n">
        <x:v>80</x:v>
      </x:c>
      <x:c r="G85" s="131" t="str">
        <x:v>Psyllium Husk Powder(Hulls) 1.395mg (1.39g) *
Inulin (Chicory Root) 75mg (0.07g) *
** (Equivalent to 1,500mg of Psyllium Husk, Acacia and Inulin)
(+ 1 itens na aba Supplement Facts)</x:v>
      </x:c>
      <x:c r="H85" s="133" t="n">
        <x:v>47300</x:v>
      </x:c>
      <x:c r="I85" s="131" t="str">
        <x:v>BR-2026-0287</x:v>
      </x:c>
      <x:c r="J85" s="131" t="str">
        <x:v>Alta - data explícita no rótulo</x:v>
      </x:c>
      <x:c r="K85" s="131" t="str">
        <x:v>Alta</x:v>
      </x:c>
      <x:c r="L85" s="131" t="str">
        <x:v>Psyllium Husk\Mockup &amp; Label\Psyllium Husk - Impressão.pdf</x:v>
      </x:c>
      <x:c r="M85" s="131" t="str">
        <x:v>Psyllium Husk\Mockup &amp; Label\Psyllium Husk - Impressão.pdf</x:v>
      </x:c>
      <x:c r="N85" s="131" t="str"/>
    </x:row>
    <x:row r="86" ht="58" customHeight="1">
      <x:c r="A86" s="131" t="str">
        <x:v>Pygeum</x:v>
      </x:c>
      <x:c r="B86" s="131" t="str">
        <x:v>Pygeum</x:v>
      </x:c>
      <x:c r="C86" s="131" t="str">
        <x:v>Ativo</x:v>
      </x:c>
      <x:c r="D86" s="131" t="str">
        <x:v>240 CAPS</x:v>
      </x:c>
      <x:c r="E86" s="131" t="str">
        <x:v>2 Capsules</x:v>
      </x:c>
      <x:c r="F86" s="132" t="n">
        <x:v>120</x:v>
      </x:c>
      <x:c r="G86" s="131" t="str">
        <x:v>** (10:1 extract, equivalent to 4,500mg of raw
450mg (0.4g) *</x:v>
      </x:c>
      <x:c r="H86" s="133" t="n">
        <x:v>47209</x:v>
      </x:c>
      <x:c r="I86" s="131" t="str">
        <x:v>2012-24015600</x:v>
      </x:c>
      <x:c r="J86" s="131" t="str">
        <x:v>Alta - data explícita no rótulo</x:v>
      </x:c>
      <x:c r="K86" s="131" t="str">
        <x:v>Média</x:v>
      </x:c>
      <x:c r="L86" s="131" t="str">
        <x:v>Pygeum\Mockup &amp; Label\Pygeum -Impressão.ai</x:v>
      </x:c>
      <x:c r="M86" s="131" t="str">
        <x:v>Pygeum\Mockup &amp; Label\Pygeum -Impressão.ai</x:v>
      </x:c>
      <x:c r="N86" s="131" t="str">
        <x:v>Lote extraído de texto vetorial; confirmar visualmente antes de uso operacional.</x:v>
      </x:c>
    </x:row>
    <x:row r="87" ht="58" customHeight="1">
      <x:c r="A87" s="131" t="str">
        <x:v>Rhodiola Rosea</x:v>
      </x:c>
      <x:c r="B87" s="131" t="str">
        <x:v>Rhodiola Rosea</x:v>
      </x:c>
      <x:c r="C87" s="131" t="str">
        <x:v>Ativo</x:v>
      </x:c>
      <x:c r="D87" s="131" t="str">
        <x:v>90 CAPS</x:v>
      </x:c>
      <x:c r="E87" s="131" t="str">
        <x:v>1 Capsule</x:v>
      </x:c>
      <x:c r="F87" s="132" t="n">
        <x:v>90</x:v>
      </x:c>
      <x:c r="G87" s="131" t="str">
        <x:v>**(from 100mg of 10:1 Extract)
1.000mg (1g) *</x:v>
      </x:c>
      <x:c r="H87" s="133" t="n">
        <x:v>47300</x:v>
      </x:c>
      <x:c r="I87" s="131" t="str">
        <x:v>2063-9000000</x:v>
      </x:c>
      <x:c r="J87" s="131" t="str">
        <x:v>Alta - data explícita no rótulo</x:v>
      </x:c>
      <x:c r="K87" s="131" t="str">
        <x:v>Média</x:v>
      </x:c>
      <x:c r="L87" s="131" t="str">
        <x:v>Rhodiola Rosea\Mockup &amp; Label\Rhodiola Rosea  - Listing.ai</x:v>
      </x:c>
      <x:c r="M87" s="131" t="str">
        <x:v>Rhodiola Rosea\Mockup &amp; Label\Rhodiola Rosea  - Listing.ai</x:v>
      </x:c>
      <x:c r="N87" s="131" t="str">
        <x:v>Lote extraído de texto vetorial; confirmar visualmente antes de uso operacional.</x:v>
      </x:c>
    </x:row>
    <x:row r="88" ht="58" customHeight="1">
      <x:c r="A88" s="131" t="str">
        <x:v>Rutin</x:v>
      </x:c>
      <x:c r="B88" s="131" t="str">
        <x:v>Rutin</x:v>
      </x:c>
      <x:c r="C88" s="131" t="str">
        <x:v>Ativo</x:v>
      </x:c>
      <x:c r="D88" s="131" t="str">
        <x:v>200 CAPS</x:v>
      </x:c>
      <x:c r="E88" s="131" t="str">
        <x:v>1 Capsule</x:v>
      </x:c>
      <x:c r="F88" s="132" t="n">
        <x:v>200</x:v>
      </x:c>
      <x:c r="G88" s="131" t="str">
        <x:v>** (20:1 extract, equivalent to 500mg of raw
25mg (0.02g) *</x:v>
      </x:c>
      <x:c r="H88" s="133" t="n">
        <x:v>47300</x:v>
      </x:c>
      <x:c r="I88" s="131" t="str">
        <x:v>04202462</x:v>
      </x:c>
      <x:c r="J88" s="131" t="str">
        <x:v>Alta - data explícita no rótulo</x:v>
      </x:c>
      <x:c r="K88" s="131" t="str">
        <x:v>Média</x:v>
      </x:c>
      <x:c r="L88" s="131" t="str">
        <x:v>Rutin\Mockup &amp; Label\Rutin - Listing.ai</x:v>
      </x:c>
      <x:c r="M88" s="131" t="str">
        <x:v>Rutin\Mockup &amp; Label\Rutin - Listing.ai</x:v>
      </x:c>
      <x:c r="N88" s="131" t="str">
        <x:v>Lote extraído de texto vetorial; confirmar visualmente antes de uso operacional.</x:v>
      </x:c>
    </x:row>
    <x:row r="89" ht="58" customHeight="1">
      <x:c r="A89" s="131" t="str">
        <x:v>Saw Palmetto</x:v>
      </x:c>
      <x:c r="B89" s="131" t="str">
        <x:v>Saw Palmetto</x:v>
      </x:c>
      <x:c r="C89" s="131" t="str">
        <x:v>Ativo</x:v>
      </x:c>
      <x:c r="D89" s="131" t="str">
        <x:v>150 CAPS</x:v>
      </x:c>
      <x:c r="E89" s="131" t="str">
        <x:v>1 Vegetarian Capsule</x:v>
      </x:c>
      <x:c r="F89" s="132" t="n">
        <x:v>150</x:v>
      </x:c>
      <x:c r="G89" s="131" t="str">
        <x:v>**(10:1 extract, equivalent to 4,000mg of raw
400mg (0.4g) *</x:v>
      </x:c>
      <x:c r="H89" s="133" t="n">
        <x:v>47300</x:v>
      </x:c>
      <x:c r="I89" s="131" t="str">
        <x:v>BR-2026-0285</x:v>
      </x:c>
      <x:c r="J89" s="131" t="str">
        <x:v>Alta - data explícita no rótulo</x:v>
      </x:c>
      <x:c r="K89" s="131" t="str">
        <x:v>Alta</x:v>
      </x:c>
      <x:c r="L89" s="131" t="str">
        <x:v>Saw Palmetto\Mockup &amp; Label\Saw Palmetto - Impressão.pdf</x:v>
      </x:c>
      <x:c r="M89" s="131" t="str">
        <x:v>Saw Palmetto\Mockup &amp; Label\Saw Palmetto - Impressão.pdf</x:v>
      </x:c>
      <x:c r="N89" s="131" t="str"/>
    </x:row>
    <x:row r="90" ht="58" customHeight="1">
      <x:c r="A90" s="131" t="str">
        <x:v>Stinging Nettle</x:v>
      </x:c>
      <x:c r="B90" s="131" t="str">
        <x:v>Stinging Nettle</x:v>
      </x:c>
      <x:c r="C90" s="131" t="str">
        <x:v>Ativo</x:v>
      </x:c>
      <x:c r="D90" s="131" t="str">
        <x:v>200 CAPS</x:v>
      </x:c>
      <x:c r="E90" s="131" t="str">
        <x:v>2 Capsules</x:v>
      </x:c>
      <x:c r="F90" s="132" t="n">
        <x:v>100</x:v>
      </x:c>
      <x:c r="G90" s="131" t="str">
        <x:v>750mg (0.75g) *
** (10:1 extract, equivalent to 7,500mg of raw</x:v>
      </x:c>
      <x:c r="H90" s="133" t="n">
        <x:v>47331</x:v>
      </x:c>
      <x:c r="I90" s="131" t="str">
        <x:v>2019-20015600</x:v>
      </x:c>
      <x:c r="J90" s="131" t="str">
        <x:v>Alta - data explícita no rótulo</x:v>
      </x:c>
      <x:c r="K90" s="131" t="str">
        <x:v>Média</x:v>
      </x:c>
      <x:c r="L90" s="131" t="str">
        <x:v>Stinging Nettle\Mockup &amp; Label\Stinging Nettle - Impressão.ai</x:v>
      </x:c>
      <x:c r="M90" s="131" t="str">
        <x:v>Stinging Nettle\Mockup &amp; Label\Stinging Nettle - Impressão.ai</x:v>
      </x:c>
      <x:c r="N90" s="131" t="str">
        <x:v>Lote extraído de texto vetorial; confirmar visualmente antes de uso operacional.</x:v>
      </x:c>
    </x:row>
    <x:row r="91" ht="58" customHeight="1">
      <x:c r="A91" s="131" t="str">
        <x:v>Tribulus Terrestris</x:v>
      </x:c>
      <x:c r="B91" s="131" t="str">
        <x:v>Tribulus Terrestris</x:v>
      </x:c>
      <x:c r="C91" s="131" t="str">
        <x:v>Ativo</x:v>
      </x:c>
      <x:c r="D91" s="131" t="str">
        <x:v>200 CAPS</x:v>
      </x:c>
      <x:c r="E91" s="131" t="str">
        <x:v>3 Capsules</x:v>
      </x:c>
      <x:c r="F91" s="132" t="n">
        <x:v>66</x:v>
      </x:c>
      <x:c r="G91" s="131" t="str">
        <x:v>**(50:1 extract, equivalent to 32,500mg of raw
650mg (0.65g) *</x:v>
      </x:c>
      <x:c r="H91" s="133" t="n">
        <x:v>47270</x:v>
      </x:c>
      <x:c r="I91" s="131" t="str">
        <x:v>04202473</x:v>
      </x:c>
      <x:c r="J91" s="131" t="str">
        <x:v>Alta - data explícita no rótulo</x:v>
      </x:c>
      <x:c r="K91" s="131" t="str">
        <x:v>Média</x:v>
      </x:c>
      <x:c r="L91" s="131" t="str">
        <x:v>Tribulus Terrestris\Mockup &amp; Label\Tribulus Terrestris 32500mg - Impressão.ai</x:v>
      </x:c>
      <x:c r="M91" s="131" t="str">
        <x:v>Tribulus Terrestris\Mockup &amp; Label\Tribulus Terrestris 32500mg - Impressão.ai</x:v>
      </x:c>
      <x:c r="N91" s="131" t="str">
        <x:v>Lote extraído de texto vetorial; confirmar visualmente antes de uso operacional.</x:v>
      </x:c>
    </x:row>
    <x:row r="92" ht="58" customHeight="1">
      <x:c r="A92" s="131" t="str">
        <x:v>Turkesterone with Tongkat ali</x:v>
      </x:c>
      <x:c r="B92" s="131" t="str">
        <x:v>Turkesterone with Tongkat ali</x:v>
      </x:c>
      <x:c r="C92" s="131" t="str">
        <x:v>Ativo</x:v>
      </x:c>
      <x:c r="D92" s="131" t="str">
        <x:v>150 CAPS</x:v>
      </x:c>
      <x:c r="E92" s="131" t="str">
        <x:v>3 Capsules</x:v>
      </x:c>
      <x:c r="F92" s="132" t="n">
        <x:v>50</x:v>
      </x:c>
      <x:c r="G92" s="131" t="str">
        <x:v>** (10:1 extract, equivalent to 10,000mg of raw
1.000 mg (1g)
** (200:1 extract, equivalent to 100,000 mg of raw Tongkat Ali)
(+ 1 itens na aba Supplement Facts)</x:v>
      </x:c>
      <x:c r="H92" s="133" t="n">
        <x:v>47300</x:v>
      </x:c>
      <x:c r="I92" s="131" t="str">
        <x:v>2065-15094</x:v>
      </x:c>
      <x:c r="J92" s="131" t="str">
        <x:v>Alta - data explícita no rótulo</x:v>
      </x:c>
      <x:c r="K92" s="131" t="str">
        <x:v>Média</x:v>
      </x:c>
      <x:c r="L92" s="131" t="str">
        <x:v>Turkesterone with Tongkat ali\Mockup &amp; Label\Turkesterone with Tongkat ali - Impressão.ai</x:v>
      </x:c>
      <x:c r="M92" s="131" t="str">
        <x:v>Turkesterone with Tongkat ali\Mockup &amp; Label\Turkesterone with Tongkat ali - Impressão.ai</x:v>
      </x:c>
      <x:c r="N92" s="131" t="str">
        <x:v>Lote extraído de texto vetorial; confirmar visualmente antes de uso operacional.</x:v>
      </x:c>
    </x:row>
    <x:row r="93" ht="58" customHeight="1">
      <x:c r="A93" s="131" t="str">
        <x:v>Urolithin A</x:v>
      </x:c>
      <x:c r="B93" s="131" t="str">
        <x:v>HOLD - NÃO IMPRIMIR</x:v>
      </x:c>
      <x:c r="C93" s="131" t="str">
        <x:v>HOLD - NÃO IMPRIMIR</x:v>
      </x:c>
      <x:c r="D93" s="131" t="str">
        <x:v>120 CAPS</x:v>
      </x:c>
      <x:c r="E93" s="131" t="str">
        <x:v>3 Capsules</x:v>
      </x:c>
      <x:c r="F93" s="132" t="n">
        <x:v>40</x:v>
      </x:c>
      <x:c r="G93" s="131" t="str">
        <x:v>Urolithin A 1.000mg (1g) *</x:v>
      </x:c>
      <x:c r="H93" s="133" t="n">
        <x:v>47178</x:v>
      </x:c>
      <x:c r="I93" s="131" t="str">
        <x:v>BR-2026-0316</x:v>
      </x:c>
      <x:c r="J93" s="131" t="str">
        <x:v>Alta - data explícita no rótulo</x:v>
      </x:c>
      <x:c r="K93" s="131" t="str">
        <x:v>Alta</x:v>
      </x:c>
      <x:c r="L93" s="131" t="str">
        <x:v>Urolithin A\HOLD - NÃO IMPRIMIR\Mockup &amp; Label\Urolithin A 120 Caps - Impressão.pdf</x:v>
      </x:c>
      <x:c r="M93" s="131" t="str">
        <x:v>Urolithin A\HOLD - NÃO IMPRIMIR\Mockup &amp; Label\Urolithin A 120 Caps - Impressão.pdf</x:v>
      </x:c>
      <x:c r="N93" s="131" t="str">
        <x:v>Pasta explicitamente marcada como não imprimir.</x:v>
      </x:c>
    </x:row>
    <x:row r="94" ht="58" customHeight="1">
      <x:c r="A94" s="131" t="str">
        <x:v>Urolithin A</x:v>
      </x:c>
      <x:c r="B94" s="131" t="str">
        <x:v>Urolithin A 1000mg, 150 Caps</x:v>
      </x:c>
      <x:c r="C94" s="131" t="str">
        <x:v>Ativo</x:v>
      </x:c>
      <x:c r="D94" s="131" t="str">
        <x:v>150 Caps</x:v>
      </x:c>
      <x:c r="E94" s="131" t="str">
        <x:v>2 Capsules</x:v>
      </x:c>
      <x:c r="F94" s="132" t="n">
        <x:v>75</x:v>
      </x:c>
      <x:c r="G94" s="131" t="str">
        <x:v>**(20:1 extract, equivalent to 1,000mg of raw Urolithin A)
1.000mg (1g) *</x:v>
      </x:c>
      <x:c r="H94" s="133" t="n">
        <x:v>47178</x:v>
      </x:c>
      <x:c r="I94" s="131" t="str">
        <x:v>BR-2026-0313</x:v>
      </x:c>
      <x:c r="J94" s="131" t="str">
        <x:v>Alta - data explícita no rótulo</x:v>
      </x:c>
      <x:c r="K94" s="131" t="str">
        <x:v>Alta</x:v>
      </x:c>
      <x:c r="L94" s="131" t="str">
        <x:v>Urolithin A\Urolithin A 1000mg, 150 Caps\Mockup &amp; Label\Urolithin A - Impressão.pdf</x:v>
      </x:c>
      <x:c r="M94" s="131" t="str">
        <x:v>Urolithin A\Urolithin A 1000mg, 150 Caps\Mockup &amp; Label\Urolithin A - Impressão.pdf</x:v>
      </x:c>
      <x:c r="N94" s="131" t="str"/>
    </x:row>
    <x:row r="95" ht="58" customHeight="1">
      <x:c r="A95" s="131" t="str">
        <x:v>Valerian Root</x:v>
      </x:c>
      <x:c r="B95" s="131" t="str">
        <x:v>Valerian Root</x:v>
      </x:c>
      <x:c r="C95" s="131" t="str">
        <x:v>Ativo</x:v>
      </x:c>
      <x:c r="D95" s="131" t="str">
        <x:v>240 CAPS</x:v>
      </x:c>
      <x:c r="E95" s="131" t="str">
        <x:v>2 Capsules</x:v>
      </x:c>
      <x:c r="F95" s="132" t="n">
        <x:v>120</x:v>
      </x:c>
      <x:c r="G95" s="131" t="str">
        <x:v>750mg (0.75g) *
**(4:1 extract, equivalent to 3,000mg of raw</x:v>
      </x:c>
      <x:c r="H95" s="133" t="n">
        <x:v>47150</x:v>
      </x:c>
      <x:c r="I95" s="131" t="str">
        <x:v>2004-24015600</x:v>
      </x:c>
      <x:c r="J95" s="131" t="str">
        <x:v>Alta - data explícita no rótulo</x:v>
      </x:c>
      <x:c r="K95" s="131" t="str">
        <x:v>Média</x:v>
      </x:c>
      <x:c r="L95" s="131" t="str">
        <x:v>Valerian Root\Mockup &amp; Label\Valerian Root - Impressão.ai</x:v>
      </x:c>
      <x:c r="M95" s="131" t="str">
        <x:v>Valerian Root\Mockup &amp; Label\Valerian Root - Impressão.ai</x:v>
      </x:c>
      <x:c r="N95" s="131" t="str">
        <x:v>Lote extraído de texto vetorial; confirmar visualmente antes de uso operacional.</x:v>
      </x:c>
    </x:row>
    <x:row r="96" ht="58" customHeight="1">
      <x:c r="A96" s="131" t="str">
        <x:v>Vitamin B1</x:v>
      </x:c>
      <x:c r="B96" s="131" t="str">
        <x:v>Vitamin B1 100mg 60capsules</x:v>
      </x:c>
      <x:c r="C96" s="131" t="str">
        <x:v>Ativo</x:v>
      </x:c>
      <x:c r="D96" s="131" t="str">
        <x:v>60 capsules</x:v>
      </x:c>
      <x:c r="E96" s="131" t="str">
        <x:v>1 Capsule</x:v>
      </x:c>
      <x:c r="F96" s="132" t="n">
        <x:v>60</x:v>
      </x:c>
      <x:c r="G96" s="131" t="str">
        <x:v>Vitamin B1 (Thiamine) 100mg 8333% *</x:v>
      </x:c>
      <x:c r="H96" s="133" t="n">
        <x:v>47270</x:v>
      </x:c>
      <x:c r="I96" s="131" t="str">
        <x:v>2040-6015600</x:v>
      </x:c>
      <x:c r="J96" s="131" t="str">
        <x:v>Alta - data explícita no rótulo</x:v>
      </x:c>
      <x:c r="K96" s="131" t="str">
        <x:v>Média</x:v>
      </x:c>
      <x:c r="L96" s="131" t="str">
        <x:v>Vitamin B1\Vitamin B1 100mg 60capsules\Mockup &amp; Label\Vitamin B1 - Listing.ai</x:v>
      </x:c>
      <x:c r="M96" s="131" t="str">
        <x:v>Vitamin B1\Vitamin B1 100mg 60capsules\Mockup &amp; Label\Vitamin B1 - Listing.ai</x:v>
      </x:c>
      <x:c r="N96" s="131" t="str">
        <x:v>Lote extraído de texto vetorial; confirmar visualmente antes de uso operacional.</x:v>
      </x:c>
    </x:row>
    <x:row r="97" ht="58" customHeight="1">
      <x:c r="A97" s="131" t="str">
        <x:v>Vitamin B1</x:v>
      </x:c>
      <x:c r="B97" s="131" t="str">
        <x:v>Vitamin B1 500mg 200capsules</x:v>
      </x:c>
      <x:c r="C97" s="131" t="str">
        <x:v>Ativo</x:v>
      </x:c>
      <x:c r="D97" s="131" t="str">
        <x:v>200 capsules</x:v>
      </x:c>
      <x:c r="E97" s="131" t="str">
        <x:v>2 capsules</x:v>
      </x:c>
      <x:c r="F97" s="132" t="n">
        <x:v>100</x:v>
      </x:c>
      <x:c r="G97" s="131" t="str">
        <x:v>Vitamin B1 (Thiamine) 500mg 41670% *</x:v>
      </x:c>
      <x:c r="H97" s="133" t="n">
        <x:v>47270</x:v>
      </x:c>
      <x:c r="I97" s="131" t="str">
        <x:v>2041-20015600</x:v>
      </x:c>
      <x:c r="J97" s="131" t="str">
        <x:v>Alta - data explícita no rótulo</x:v>
      </x:c>
      <x:c r="K97" s="131" t="str">
        <x:v>Média</x:v>
      </x:c>
      <x:c r="L97" s="131" t="str">
        <x:v>Vitamin B1\Vitamin B1 500mg 200capsules\Mockup &amp; Label\Vitamin B1 500mg -Impressão.ai</x:v>
      </x:c>
      <x:c r="M97" s="131" t="str">
        <x:v>Vitamin B1\Vitamin B1 500mg 200capsules\Mockup &amp; Label\Vitamin B1 500mg -Impressão.ai</x:v>
      </x:c>
      <x:c r="N97" s="131" t="str">
        <x:v>Lote extraído de texto vetorial; confirmar visualmente antes de uso operacional.</x:v>
      </x:c>
    </x:row>
    <x:row r="98" ht="58" customHeight="1">
      <x:c r="A98" s="131" t="str">
        <x:v>Vitamin B12 5000mcg 240 Tablets</x:v>
      </x:c>
      <x:c r="B98" s="131" t="str">
        <x:v>Vitamin B12 5000mcg 240 Tablets</x:v>
      </x:c>
      <x:c r="C98" s="131" t="str">
        <x:v>Ativo</x:v>
      </x:c>
      <x:c r="D98" s="131" t="str">
        <x:v>240 Tablets</x:v>
      </x:c>
      <x:c r="E98" s="131" t="str">
        <x:v>1 Tablet</x:v>
      </x:c>
      <x:c r="F98" s="132" t="n">
        <x:v>240</x:v>
      </x:c>
      <x:c r="G98" s="131" t="str">
        <x:v>5.000mcg 208,333%</x:v>
      </x:c>
      <x:c r="H98" s="133" t="n">
        <x:v>47209</x:v>
      </x:c>
      <x:c r="I98" s="131" t="str">
        <x:v>BR-2026-0295</x:v>
      </x:c>
      <x:c r="J98" s="131" t="str">
        <x:v>Alta - data explícita no rótulo</x:v>
      </x:c>
      <x:c r="K98" s="131" t="str">
        <x:v>Alta</x:v>
      </x:c>
      <x:c r="L98" s="131" t="str">
        <x:v>Vitamin B12 5000mcg 240 Tablets\Mockup &amp; Label\Vitamin B12  - Impressão.pdf</x:v>
      </x:c>
      <x:c r="M98" s="131" t="str">
        <x:v>Vitamin B12 5000mcg 240 Tablets\Mockup &amp; Label\Vitamin B12  - Impressão.pdf</x:v>
      </x:c>
      <x:c r="N98" s="131" t="str"/>
    </x:row>
    <x:row r="99" ht="58" customHeight="1">
      <x:c r="A99" s="131" t="str">
        <x:v>Vitamin B2</x:v>
      </x:c>
      <x:c r="B99" s="131" t="str">
        <x:v>Vitamin B2 400mg 180caps</x:v>
      </x:c>
      <x:c r="C99" s="131" t="str">
        <x:v>Ativo</x:v>
      </x:c>
      <x:c r="D99" s="131" t="str">
        <x:v>180 caps</x:v>
      </x:c>
      <x:c r="E99" s="131" t="str">
        <x:v>1 Capsule</x:v>
      </x:c>
      <x:c r="F99" s="132" t="n">
        <x:v>180</x:v>
      </x:c>
      <x:c r="G99" s="131" t="str">
        <x:v>Vitamin B2 400mg (0.40g)</x:v>
      </x:c>
      <x:c r="H99" s="133" t="n">
        <x:v>47270</x:v>
      </x:c>
      <x:c r="I99" s="131" t="str">
        <x:v>BR-2026-0211</x:v>
      </x:c>
      <x:c r="J99" s="131" t="str">
        <x:v>Alta - data explícita no rótulo</x:v>
      </x:c>
      <x:c r="K99" s="131" t="str">
        <x:v>Alta</x:v>
      </x:c>
      <x:c r="L99" s="131" t="str">
        <x:v>Vitamin B2\Vitamin B2 400mg 180caps\Mockup &amp; Label\Vitamin B2 - Impressão.pdf</x:v>
      </x:c>
      <x:c r="M99" s="131" t="str">
        <x:v>Vitamin B2\Vitamin B2 400mg 180caps\Mockup &amp; Label\Vitamin B2 - Impressão.pdf</x:v>
      </x:c>
      <x:c r="N99" s="131" t="str"/>
    </x:row>
    <x:row r="100" ht="58" customHeight="1">
      <x:c r="A100" s="131" t="str">
        <x:v>White Kidney Bean</x:v>
      </x:c>
      <x:c r="B100" s="131" t="str">
        <x:v>White Kidney Bean</x:v>
      </x:c>
      <x:c r="C100" s="131" t="str">
        <x:v>Ativo</x:v>
      </x:c>
      <x:c r="D100" s="131" t="str">
        <x:v>240 CAPS</x:v>
      </x:c>
      <x:c r="E100" s="131" t="str">
        <x:v>1 Capsule</x:v>
      </x:c>
      <x:c r="F100" s="132" t="n">
        <x:v>240</x:v>
      </x:c>
      <x:c r="G100" s="131" t="str">
        <x:v>White Kidney Extract 375mg (0.37g) *
**(20:1 extract, equivalent to 7,500mg of raw</x:v>
      </x:c>
      <x:c r="H100" s="133" t="n">
        <x:v>47239</x:v>
      </x:c>
      <x:c r="I100" s="131" t="str">
        <x:v>BR-2026-0289</x:v>
      </x:c>
      <x:c r="J100" s="131" t="str">
        <x:v>Alta - data explícita no rótulo</x:v>
      </x:c>
      <x:c r="K100" s="131" t="str">
        <x:v>Alta</x:v>
      </x:c>
      <x:c r="L100" s="131" t="str">
        <x:v>White Kidney Bean\Mockup &amp; Label\White Kidney Bean - Impressão.pdf</x:v>
      </x:c>
      <x:c r="M100" s="131" t="str">
        <x:v>White Kidney Bean\Mockup &amp; Label\White Kidney Bean - Impressão.pdf</x:v>
      </x:c>
      <x:c r="N100" s="131" t="str"/>
    </x:row>
    <x:row r="101" ht="58" customHeight="1">
      <x:c r="A101" s="131" t="str">
        <x:v>Yohimbine</x:v>
      </x:c>
      <x:c r="B101" s="131" t="str">
        <x:v>Yohimbine 10mg - 240 capsulas</x:v>
      </x:c>
      <x:c r="C101" s="131" t="str">
        <x:v>Ativo</x:v>
      </x:c>
      <x:c r="D101" s="131" t="str">
        <x:v>240 capsulas</x:v>
      </x:c>
      <x:c r="E101" s="131" t="str">
        <x:v>2 Capsules</x:v>
      </x:c>
      <x:c r="F101" s="132" t="n">
        <x:v>120</x:v>
      </x:c>
      <x:c r="G101" s="131" t="str">
        <x:v>Yohimbine HCL 10mg *</x:v>
      </x:c>
      <x:c r="H101" s="133" t="n">
        <x:v>47453</x:v>
      </x:c>
      <x:c r="I101" s="131" t="str">
        <x:v>2029-24015600</x:v>
      </x:c>
      <x:c r="J101" s="131" t="str">
        <x:v>Alta - data explícita no rótulo</x:v>
      </x:c>
      <x:c r="K101" s="131" t="str">
        <x:v>Média</x:v>
      </x:c>
      <x:c r="L101" s="131" t="str">
        <x:v>Yohimbine\Yohimbine 10mg - 240 capsulas\Mockup &amp; Label\Yohimbine - Listing.ai</x:v>
      </x:c>
      <x:c r="M101" s="131" t="str">
        <x:v>Yohimbine\Yohimbine 10mg - 240 capsulas\Mockup &amp; Label\Yohimbine - Listing.ai</x:v>
      </x:c>
      <x:c r="N101" s="131" t="str">
        <x:v>Lote extraído de texto vetorial; confirmar visualmente antes de uso operacional.</x:v>
      </x:c>
    </x:row>
    <x:row r="102" ht="58" customHeight="1">
      <x:c r="A102" s="131" t="str">
        <x:v>Yohimbine</x:v>
      </x:c>
      <x:c r="B102" s="131" t="str">
        <x:v>Yohimbine 5mg - 240 capsulas</x:v>
      </x:c>
      <x:c r="C102" s="131" t="str">
        <x:v>Ativo</x:v>
      </x:c>
      <x:c r="D102" s="131" t="str">
        <x:v>240 capsulas</x:v>
      </x:c>
      <x:c r="E102" s="131" t="str">
        <x:v>2 Capsules</x:v>
      </x:c>
      <x:c r="F102" s="132" t="n">
        <x:v>120</x:v>
      </x:c>
      <x:c r="G102" s="131" t="str">
        <x:v>Yohimbine HCL 5 mg *
X004Z8R8Q3 - NEW YOHIMBINE 5MG</x:v>
      </x:c>
      <x:c r="H102" s="133" t="n">
        <x:v>47453</x:v>
      </x:c>
      <x:c r="I102" s="131" t="str">
        <x:v>64395356</x:v>
      </x:c>
      <x:c r="J102" s="131" t="str">
        <x:v>Alta - data explícita no rótulo</x:v>
      </x:c>
      <x:c r="K102" s="131" t="str">
        <x:v>Média</x:v>
      </x:c>
      <x:c r="L102" s="131" t="str">
        <x:v>Yohimbine\Yohimbine 5mg - 240 capsulas\Mockup &amp; Label\Yohimbine 5mg - Impressão.pdf</x:v>
      </x:c>
      <x:c r="M102" s="131" t="str">
        <x:v>Yohimbine\Yohimbine 5mg - 240 capsulas\Mockup &amp; Label\Yohimbine 5mg - Impressão.pdf</x:v>
      </x:c>
      <x:c r="N102" s="131" t="str">
        <x:v>Lote extraído de texto vetorial; confirmar visualmente antes de uso operacional.</x:v>
      </x:c>
    </x:row>
  </x:sheetData>
  <x:mergeCells>
    <x:mergeCell ref="A1:N1"/>
    <x:mergeCell ref="A2:N2"/>
  </x:mergeCells>
  <x:conditionalFormatting sqref="C5:C102">
    <x:cfRule type="containsText" dxfId="0" priority="1" operator="containsText" text="HOLD"/>
  </x:conditionalFormatting>
  <x:conditionalFormatting sqref="K5:K102">
    <x:cfRule type="containsText" dxfId="1" priority="2" operator="containsText" text="Média"/>
  </x:conditionalFormatting>
  <x:conditionalFormatting sqref="J5:J102">
    <x:cfRule type="containsText" dxfId="2" priority="3" operator="containsText" text="Alta"/>
  </x:conditionalFormatting>
  <x:pageMargins left="0.7" right="0.7" top="0.75" bottom="0.75" header="0.3" footer="0.3"/>
  <x:tableParts count="1">
    <x:tablePart xmlns:r="http://schemas.openxmlformats.org/officeDocument/2006/relationships" r:id="Rfcac5a7eee92412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0" hidden="0" customWidth="1"/>
    <x:col min="3" max="3" width="20" hidden="0" customWidth="1"/>
    <x:col min="4" max="4" width="13" hidden="0" customWidth="1"/>
    <x:col min="5" max="5" width="62" hidden="0" customWidth="1"/>
    <x:col min="6" max="6" width="68" hidden="0" customWidth="1"/>
    <x:col min="7" max="7" width="54" hidden="0" customWidth="1"/>
    <x:col min="8" max="8" width="52" hidden="0" customWidth="1"/>
    <x:col min="9" max="9" width="70" hidden="0" customWidth="1"/>
    <x:col min="10" max="10" width="40" hidden="0" customWidth="1"/>
  </x:cols>
  <x:sheetData>
    <x:row r="1" ht="34" customHeight="1">
      <x:c r="A1" s="3" t="str">
        <x:v>Supplement Facts - Detalhes por SKU</x:v>
      </x:c>
      <x:c r="B1" s="3"/>
      <x:c r="C1" s="3"/>
      <x:c r="D1" s="3"/>
      <x:c r="E1" s="3"/>
      <x:c r="F1" s="3"/>
      <x:c r="G1" s="3"/>
      <x:c r="H1" s="3"/>
      <x:c r="I1" s="3"/>
      <x:c r="J1" s="3"/>
    </x:row>
    <x:row r="2" ht="28" customHeight="1">
      <x:c r="A2" s="6" t="str">
        <x:v>Texto consolidado do painel, outros ingredientes e modo de uso. A coluna de transcrição preserva a ordem do texto vetorial.</x:v>
      </x:c>
      <x:c r="B2" s="6"/>
      <x:c r="C2" s="6"/>
      <x:c r="D2" s="6"/>
      <x:c r="E2" s="6"/>
      <x:c r="F2" s="6"/>
      <x:c r="G2" s="6"/>
      <x:c r="H2" s="6"/>
      <x:c r="I2" s="6"/>
      <x:c r="J2" s="6"/>
    </x:row>
    <x:row r="4">
      <x:c r="A4" t="str">
        <x:v>Suplemento / SKU</x:v>
      </x:c>
      <x:c r="B4" t="str">
        <x:v>Família</x:v>
      </x:c>
      <x:c r="C4" t="str">
        <x:v>Porção</x:v>
      </x:c>
      <x:c r="D4" t="str">
        <x:v>Porções / frasco</x:v>
      </x:c>
      <x:c r="E4" t="str">
        <x:v>Ingredientes ativos e quantidades</x:v>
      </x:c>
      <x:c r="F4" t="str">
        <x:v>Transcrição do painel Supplement Facts</x:v>
      </x:c>
      <x:c r="G4" t="str">
        <x:v>Outros ingredientes</x:v>
      </x:c>
      <x:c r="H4" t="str">
        <x:v>Modo de uso</x:v>
      </x:c>
      <x:c r="I4" t="str">
        <x:v>Fonte</x:v>
      </x:c>
      <x:c r="J4" t="str">
        <x:v>Observações</x:v>
      </x:c>
    </x:row>
    <x:row r="5" ht="120" customHeight="1">
      <x:c r="A5" s="131" t="str">
        <x:v>Activated Charcoal 1200mg 150caps</x:v>
      </x:c>
      <x:c r="B5" s="131" t="str">
        <x:v>Activated Charcoal</x:v>
      </x:c>
      <x:c r="C5" s="131" t="str">
        <x:v>2 Capsules</x:v>
      </x:c>
      <x:c r="D5" s="132" t="n">
        <x:v>75</x:v>
      </x:c>
      <x:c r="E5" s="131" t="str">
        <x:v>Activated Charcoal 1,200mg (1.2g)
1200 MG</x:v>
      </x:c>
      <x:c r="F5" s="131" t="str">
        <x:v>Serving Size: 2 Capsules
Servings Per Container: 75
*
Highly Absorbent
*
◊
DERIVED FROM COCONUT SHELLS
850031157262 - NEW ACTIVATED CHARCOAL
VEGAN
CAPSULES
1200 MG
Per serving
150 CAPS
Non-GMO Gluten-Free</x:v>
      </x:c>
      <x:c r="G5" s="131" t="str">
        <x:v>ES: Rice Flour, Capsule (Hypromellose, Water),</x:v>
      </x:c>
      <x:c r="H5" s="131" t="str">
        <x:v>Take two (2) capsules daily,</x:v>
      </x:c>
      <x:c r="I5" s="131" t="str">
        <x:v>Activated Charcoal\Activated Charcoal 1200mg 150caps\Mockup &amp; Label\Activated Charcoal - Impressão.pdf</x:v>
      </x:c>
      <x:c r="J5" s="131" t="str"/>
    </x:row>
    <x:row r="6" ht="120" customHeight="1">
      <x:c r="A6" s="131" t="str">
        <x:v>Activated Charcoal C2 1200mg 300caps (2 Bottles)</x:v>
      </x:c>
      <x:c r="B6" s="131" t="str">
        <x:v>Activated Charcoal</x:v>
      </x:c>
      <x:c r="C6" s="131" t="str">
        <x:v>2 Capsules</x:v>
      </x:c>
      <x:c r="D6" s="132" t="n">
        <x:v>75</x:v>
      </x:c>
      <x:c r="E6" s="131" t="str">
        <x:v>Activated Charcoal 1,200mg (1.2g)
1200 MG</x:v>
      </x:c>
      <x:c r="F6" s="131" t="str">
        <x:v>Serving Size: 2 Capsules
Servings Per Container: 75
*
Highly Absorbent
*
◊
DERIVED FROM COCONUT SHELLS
850054045072 - NEW ACTIVATED CHARCOAL
VEGAN
CAPSULES
1200 MG
Per serving
150 CAPS
Non-GMO Gluten-Free</x:v>
      </x:c>
      <x:c r="G6" s="131" t="str">
        <x:v>ES: Rice Flour, Capsule (Hypromellose, Water),</x:v>
      </x:c>
      <x:c r="H6" s="131" t="str">
        <x:v>Take two (2) capsules daily,</x:v>
      </x:c>
      <x:c r="I6" s="131" t="str">
        <x:v>Activated Charcoal\Activated Charcoal C2 1200mg 300caps (2 Bottles)\Mockup &amp; Label\Activated Charcoal - Impressão.pdf</x:v>
      </x:c>
      <x:c r="J6" s="131" t="str">
        <x:v>Lote extraído de texto vetorial; confirmar visualmente antes de uso operacional.</x:v>
      </x:c>
    </x:row>
    <x:row r="7" ht="120" customHeight="1">
      <x:c r="A7" s="131" t="str">
        <x:v>Akkermansia</x:v>
      </x:c>
      <x:c r="B7" s="131" t="str">
        <x:v>Akkermansia</x:v>
      </x:c>
      <x:c r="C7" s="131" t="str">
        <x:v>1 Capsule</x:v>
      </x:c>
      <x:c r="D7" s="132" t="n">
        <x:v>90</x:v>
      </x:c>
      <x:c r="E7" s="131" t="str">
        <x:v>400mg *</x:v>
      </x:c>
      <x:c r="F7" s="131" t="str">
        <x:v>Serving Size: 1 Capsule
Servings Per Container: 90
Serving Size: 1 Capsule
Servings Per Container: 90
Amount Per Serving
* Daily Value not established
Akkermansia Muciniphila
Inulin
300 Billion AFU *
400mg *
% Daily Value*</x:v>
      </x:c>
      <x:c r="G7" s="131" t="str">
        <x:v>Rice Flour, Capsule (Hypromellose,</x:v>
      </x:c>
      <x:c r="H7" s="131" t="str">
        <x:v>Take one (1) capsule daily,</x:v>
      </x:c>
      <x:c r="I7" s="131" t="str">
        <x:v>Akkermansia\Mockup &amp; Label\Akkermansia - Impressão.pdf</x:v>
      </x:c>
      <x:c r="J7" s="131" t="str">
        <x:v>Lote extraído de texto vetorial; confirmar visualmente antes de uso operacional.</x:v>
      </x:c>
    </x:row>
    <x:row r="8" ht="120" customHeight="1">
      <x:c r="A8" s="131" t="str">
        <x:v>Aloe Vera</x:v>
      </x:c>
      <x:c r="B8" s="131" t="str">
        <x:v>Aloe Vera</x:v>
      </x:c>
      <x:c r="C8" s="131" t="str">
        <x:v>2 Capsules</x:v>
      </x:c>
      <x:c r="D8" s="132" t="n">
        <x:v>30</x:v>
      </x:c>
      <x:c r="E8" s="131" t="str">
        <x:v>** (100:1 extract, equivalent to 40,000mg of raw
400mg (0.4g) *
60 CAPS40,000 MG</x:v>
      </x:c>
      <x:c r="F8" s="131" t="str">
        <x:v>Serving Size: 2 Capsules
Servings Per Container: 30
Serving Size: 2 Capsules
Servings Per Container: 30
Amount Per Serving % Daily Value*
* Daily Value (DV) not established.
Aloe Vera Extract
 (Aloe Barbadensis) (Leaf)
** (100:1 extract, equivalent to 40,000mg of raw
 Aloe Vera)
400mg (0.4g) *
NO
STARCH CORN EGGS LACTOSE GLUTEN 
WHEAT YEAST SOY ARTIFICIAL COLORS AND 
FLAVORS SUGAR PRESERVATIVES
•
• • •
• •
• •
•
NON-GMO
THE COLOR OF THIS PRODUCT NATURALLY VARIES
850054045140 - NEW ALOE VERA
* These statements have not been evaluated by the Food and Drug 
Administration. This product is not intended to diagnose, treat, 
cure, or prevent any disease.
Dietary Supplement
Non-GMO
Non-GMO
Gluten-Free Gluten-Free
60 CAPS40,000 MG
Per Serving
ALOE VERA
VEGAN
CAPSULES
Traditional Herb
+1 (917)908-1328
HEALTHFAREGROUP
HEALTHFARE</x:v>
      </x:c>
      <x:c r="G8" s="131" t="str">
        <x:v>Rice Flour, Capsule (Hypromellose,</x:v>
      </x:c>
      <x:c r="H8" s="131" t="str">
        <x:v>Take two (2) capsules daily,</x:v>
      </x:c>
      <x:c r="I8" s="131" t="str">
        <x:v>Aloe Vera\Mockup &amp; Label\Aloe Vera - Impressão.pdf</x:v>
      </x:c>
      <x:c r="J8" s="131" t="str">
        <x:v>Lote extraído de texto vetorial; confirmar visualmente antes de uso operacional.</x:v>
      </x:c>
    </x:row>
    <x:row r="9" ht="120" customHeight="1">
      <x:c r="A9" s="131" t="str">
        <x:v>Apple Cider Vinegar</x:v>
      </x:c>
      <x:c r="B9" s="131" t="str">
        <x:v>Apple Cider Vinegar</x:v>
      </x:c>
      <x:c r="C9" s="131" t="str">
        <x:v>3 Capsules</x:v>
      </x:c>
      <x:c r="D9" s="132" t="n">
        <x:v>50</x:v>
      </x:c>
      <x:c r="E9" s="131" t="str">
        <x:v>(4:1extract, equivalent to 3,200mg of raw
3,200mg (0.06g) *</x:v>
      </x:c>
      <x:c r="F9" s="131" t="str">
        <x:v>Serving Size: 3 Capsules
Servings Per Container: 50
Serving Size: 3 Capsules
Servings Per Container: 50
**
NO
STARCH CORN EGGS LACTOSE GLUTEN 
WHEAT YEAST SOY ARTIFICIAL COLORS AND 
FLAVORS SUGAR PRESERVATIVES
•
• • •
• •
• •
•
NON-GMO
Non-GMO
Non-GMO
Gluten-Free Gluten-Free
150 CAPS3200 MG
850031157699 - NEW APPLE CIDER VINEGAR
with the mother
Dietary Supplement
+1 (917)908-1328
HEALTHFAREGROUP
HEALTHFARE</x:v>
      </x:c>
      <x:c r="G9" s="131" t="str">
        <x:v>ES: Rice Flour, Capsule (Hypromellose, Water),</x:v>
      </x:c>
      <x:c r="H9" s="131" t="str">
        <x:v>Take three (3) capsules</x:v>
      </x:c>
      <x:c r="I9" s="131" t="str">
        <x:v>Apple Cider Vinegar\Mockup &amp; Label\Apple Cider Vinegar - Impressão.pdf</x:v>
      </x:c>
      <x:c r="J9" s="131" t="str"/>
    </x:row>
    <x:row r="10" ht="120" customHeight="1">
      <x:c r="A10" s="131" t="str">
        <x:v>Ashwagandha 500mg 120caps</x:v>
      </x:c>
      <x:c r="B10" s="131" t="str">
        <x:v>Ashwagandha 500mg 120caps</x:v>
      </x:c>
      <x:c r="C10" s="131" t="str">
        <x:v>2 Capsules</x:v>
      </x:c>
      <x:c r="D10" s="132" t="n">
        <x:v>60</x:v>
      </x:c>
      <x:c r="E10" s="131" t="str">
        <x:v>**(10:1 extract, equivalent to 500mg of raw
50mg (0.05g) *
500 MG</x:v>
      </x:c>
      <x:c r="F10" s="131" t="str">
        <x:v>Serving Size: 2 Capsules
Servings Per Container: 60
Serving Size: 2 Capsules
Servings Per Container: 60
NO
STARCH CORN EGGS LACTOSE GLUTEN 
WHEAT YEAST SOY ARTIFICIAL COLORS AND 
FLAVORS SUGAR PRESERVATIVES
•
• • •
• •
• •
•
NON-GMO
850054045522 - NEW ASHWAGANDHA
THE COLOR OF THIS PRODUCT NATURALLY VARIES
Herbal Supplement
VEGAN
CAPSULES</x:v>
      </x:c>
      <x:c r="G10" s="131" t="str">
        <x:v>Rice Flour, Capsule (Hypromellose,</x:v>
      </x:c>
      <x:c r="H10" s="131" t="str">
        <x:v>Take two (2) capsules daily, preferably</x:v>
      </x:c>
      <x:c r="I10" s="131" t="str">
        <x:v>Ashwagandha 500mg 120caps\Mockup &amp; Label\Ashwagandha - Impressão.pdf</x:v>
      </x:c>
      <x:c r="J10" s="131" t="str"/>
    </x:row>
    <x:row r="11" ht="120" customHeight="1">
      <x:c r="A11" s="131" t="str">
        <x:v>Banaba Leaf</x:v>
      </x:c>
      <x:c r="B11" s="131" t="str">
        <x:v>Banaba Leaf</x:v>
      </x:c>
      <x:c r="C11" s="131" t="str">
        <x:v>2 Capsules</x:v>
      </x:c>
      <x:c r="D11" s="132" t="n">
        <x:v>45</x:v>
      </x:c>
      <x:c r="E11" s="131" t="str">
        <x:v>** (20:1 extract, equivalent to 3,000mg of raw
150mg (0.15g) *</x:v>
      </x:c>
      <x:c r="F11" s="131" t="str">
        <x:v>Serving Size: 2 Capsules
Servings Per Container: 45
Serving Size: 2 Capsules
Servings Per Container: 45
Amount Per Serving % Daily Value*
* Daily Value (DV) not established
Banaba Leaf Extract
 (Lagerstroemia speciosa) (Leaf)
 ** (20:1 extract, equivalent to 3,000mg of raw
 Banaba Leaf )
150mg (0.15g) *
NO
STARCH CORN EGGS LACTOSE GLUTEN 
WHEAT YEAST SOY ARTIFICIAL COLORS AND 
FLAVORS SUGAR PRESERVATIVES
•
• • •
• •
• •
•
NON-GMO
THE COLOR OF THIS PRODUCT NATURALLY VARIES
B0D4WWLHN9 - NEW BANABA LEAF
* These statements have not been evaluated by the Food and 
Drug Administration. This product is not intended to diagnose, 
treat, cure, or prevent any disease.
Dietary Supplement
Non-GMO
Non-GMO
Gluten-Free Gluten-Free
90 CAPS3000 MG
Per Serving
BANABA leaf
EXTRACT
VEGAN
CAPSULES
Traditional Herb
+1 (917)908-1328
HEALTHFAREGROUP
HEALTHFARE</x:v>
      </x:c>
      <x:c r="G11" s="131" t="str">
        <x:v>Rice Flour, Capsule (Hypromellose,</x:v>
      </x:c>
      <x:c r="H11" s="131" t="str">
        <x:v>Take two (2) capsules daily,</x:v>
      </x:c>
      <x:c r="I11" s="131" t="str">
        <x:v>Banaba Leaf\Mockup &amp; Label\Banaba Leaf - Impressão.pdf</x:v>
      </x:c>
      <x:c r="J11" s="131" t="str">
        <x:v>Lote extraído de texto vetorial; confirmar visualmente antes de uso operacional.</x:v>
      </x:c>
    </x:row>
    <x:row r="12" ht="120" customHeight="1">
      <x:c r="A12" s="131" t="str">
        <x:v>Beet Root 2000mg - 60 Capsulas</x:v>
      </x:c>
      <x:c r="B12" s="131" t="str">
        <x:v>Beet Root</x:v>
      </x:c>
      <x:c r="C12" s="131" t="str">
        <x:v>2 Capsules</x:v>
      </x:c>
      <x:c r="D12" s="132" t="n">
        <x:v>30</x:v>
      </x:c>
      <x:c r="E12" s="131" t="str">
        <x:v>2000 MG 60 CAPS
2.000mg (2g) *
(10:1 extract, equivalent to 2,000mg of raw</x:v>
      </x:c>
      <x:c r="F12" s="131" t="str">
        <x:v>Serving Size: 2 Capsules
Servings Per Container: 30
Serving Size: 2 Capsules
Servings Per Container: 30
(10:1 extract, equivalent to 2,000mg of raw
 Beet Root per serving)
**
NO
STARCH CORN EGGS LACTOSE GLUTEN 
WHEAT YEAST SOY ARTIFICIAL COLORS AND 
FLAVORS SUGAR PRESERVATIVES
•
• • •
• •
• •
•
NON-GMO
THE COLOR OF THIS PRODUCT NATURALLY VARIES
PRODUCED AND QUALITY TESTED IN THE 
USA USING GLOBALLY SOURCED INGREDIENTS.
GMPGOOD MANUFACTURING PRACTICE
C E R T I F I E D
 STORE THIS PRODUCT IN A COOL AND DRY PLACE
THIRD PARTY TESTED*
*
BEET root
Circulation Harmony
*
BEST BY: 04/2029 | BATCH NO: 04202471</x:v>
      </x:c>
      <x:c r="G12" s="131" t="str">
        <x:v>Rice Flour, Capsule (Hypromellose,</x:v>
      </x:c>
      <x:c r="H12" s="131" t="str">
        <x:v>Take two (2) capsules daily, preferably</x:v>
      </x:c>
      <x:c r="I12" s="131" t="str">
        <x:v>Beet Root\Beet Root 2000mg - 60 Capsulas\Mockup &amp; Label\Beet Root - Impressão.pdf</x:v>
      </x:c>
      <x:c r="J12" s="131" t="str">
        <x:v>Lote extraído de texto vetorial; confirmar visualmente antes de uso operacional.</x:v>
      </x:c>
    </x:row>
    <x:row r="13" ht="120" customHeight="1">
      <x:c r="A13" s="131" t="str">
        <x:v>Benfotiamine 300mg 200caps</x:v>
      </x:c>
      <x:c r="B13" s="131" t="str">
        <x:v>Benfotiamine</x:v>
      </x:c>
      <x:c r="C13" s="131" t="str">
        <x:v>1 Capsule</x:v>
      </x:c>
      <x:c r="D13" s="132" t="n">
        <x:v>200</x:v>
      </x:c>
      <x:c r="E13" s="131" t="str">
        <x:v>Benfotiamine 300mg (0.3g) *</x:v>
      </x:c>
      <x:c r="F13" s="131" t="str">
        <x:v>Serving Size: 1 Capsule
Servings Per Container: 200
Serving Size: 1 Capsule
Servings Per Container: 200
Dietary Supplement
S-BENZOYLTHIAMINE O-MONOPHOSPHATE
NO
STARCH CORN EGGS LACTOSE GLUTEN 
WHEAT YEAST SOY ARTIFICIAL COLORS AND 
FLAVORS SUGAR PRESERVATIVES
•
• • •
• •
• •
•
NON-GMO
850031157187 - NEW BENFOTIAMINE
VEGAN
CAPSULES
Non-GMO
Non-GMO
Gluten-Free Gluten-Free
200 CAPS300 MG
Per Serving
Per Serving
+1 (917)908-1328
HEALTHFAREGROUP
HEALTHFARE</x:v>
      </x:c>
      <x:c r="G13" s="131" t="str">
        <x:v>Rice Flour, Capsule (Hypromellose,</x:v>
      </x:c>
      <x:c r="H13" s="131" t="str">
        <x:v>Take One (1) capsule daily,</x:v>
      </x:c>
      <x:c r="I13" s="131" t="str">
        <x:v>Benfotiamine\Benfotiamine 300mg 200caps\Mockup &amp; Label\Benfotiamine - 300 - Impressão.pdf</x:v>
      </x:c>
      <x:c r="J13" s="131" t="str"/>
    </x:row>
    <x:row r="14" ht="120" customHeight="1">
      <x:c r="A14" s="131" t="str">
        <x:v>Benfotiamine 300mg C2 400caps (2 Bottles)</x:v>
      </x:c>
      <x:c r="B14" s="131" t="str">
        <x:v>Benfotiamine</x:v>
      </x:c>
      <x:c r="C14" s="131" t="str">
        <x:v>1 Capsule</x:v>
      </x:c>
      <x:c r="D14" s="132" t="n">
        <x:v>200</x:v>
      </x:c>
      <x:c r="E14" s="131" t="str">
        <x:v>Benfotiamine 300mg (0.3g) *</x:v>
      </x:c>
      <x:c r="F14" s="131" t="str">
        <x:v>Serving Size: 1 Capsule
Servings Per Container: 200
Serving Size: 1 Capsule
Servings Per Container: 200
Dietary Supplement
S-BENZOYLTHIAMINE O-MONOPHOSPHATE
NO
STARCH CORN EGGS LACTOSE GLUTEN 
WHEAT YEAST SOY ARTIFICIAL COLORS AND 
FLAVORS SUGAR PRESERVATIVES
•
• • •
• •
• •
•
NON-GMO
850031157187 - NEW BENFOTIAMINE
VEGAN
CAPSULES
Non-GMO
Non-GMO
Gluten-Free Gluten-Free
200 CAPS300 MG
Per Serving
Per Serving
+1 (917)908-1328
HEALTHFAREGROUP
HEALTHFARE</x:v>
      </x:c>
      <x:c r="G14" s="131" t="str">
        <x:v>Rice Flour, Capsule (Hypromellose,</x:v>
      </x:c>
      <x:c r="H14" s="131" t="str">
        <x:v>Take One (1) capsule daily,</x:v>
      </x:c>
      <x:c r="I14" s="131" t="str">
        <x:v>Benfotiamine\Benfotiamine 300mg C2 400caps (2 Bottles)\Mockup &amp; Label\Benfotiamine - 300 - Impressão.pdf</x:v>
      </x:c>
      <x:c r="J14" s="131" t="str"/>
    </x:row>
    <x:row r="15" ht="120" customHeight="1">
      <x:c r="A15" s="131" t="str">
        <x:v>Benfotiamine 600mg 200caps</x:v>
      </x:c>
      <x:c r="B15" s="131" t="str">
        <x:v>Benfotiamine</x:v>
      </x:c>
      <x:c r="C15" s="131" t="str">
        <x:v>2 Capsules</x:v>
      </x:c>
      <x:c r="D15" s="132" t="n">
        <x:v>100</x:v>
      </x:c>
      <x:c r="E15" s="131" t="str">
        <x:v>Benfotiamine 600mg (0.6g) *</x:v>
      </x:c>
      <x:c r="F15" s="131" t="str">
        <x:v>Serving Size: 2 Capsules
Servings Per Container: 100
Serving Size: 2 Capsules
Servings Per Container: 100
Dietary Supplement
S-BENZOYLTHIAMINE O-MONOPHOSPHATE
NO
STARCH CORN EGGS LACTOSE GLUTEN 
WHEAT YEAST SOY ARTIFICIAL COLORS AND 
FLAVORS SUGAR PRESERVATIVES
•
• • •
• •
• •
•
NON-GMO
850054045355 - NEW BENFOTIAMINE
VEGAN
CAPSULES
Non-GMO
Non-GMO
Gluten-Free Gluten-Free
200 CAPS600 MG
Per Serving
Per Serving
+1 (917)908-1328
HEALTHFAREGROUP
HEALTHFARE</x:v>
      </x:c>
      <x:c r="G15" s="131" t="str">
        <x:v>Rice Flour, Capsule (Hypromellose,</x:v>
      </x:c>
      <x:c r="H15" s="131" t="str">
        <x:v>Take two (2) capsules daily, preferably</x:v>
      </x:c>
      <x:c r="I15" s="131" t="str">
        <x:v>Benfotiamine\Benfotiamine 600mg 200caps\Mockup &amp; Label\Benfotiamine - 600 - Impressão.pdf</x:v>
      </x:c>
      <x:c r="J15" s="131" t="str"/>
    </x:row>
    <x:row r="16" ht="120" customHeight="1">
      <x:c r="A16" s="131" t="str">
        <x:v>Berberine 2500mg 60caps</x:v>
      </x:c>
      <x:c r="B16" s="131" t="str">
        <x:v>Berberine</x:v>
      </x:c>
      <x:c r="C16" s="131" t="str">
        <x:v>1 Capsule</x:v>
      </x:c>
      <x:c r="D16" s="132" t="n">
        <x:v>60</x:v>
      </x:c>
      <x:c r="E16" s="131" t="str">
        <x:v>** (10:1 extract, equivalent to 1.500mg of raw
** (10:1 extract, equivalent to 1.000mg of raw
150mg *
100mg *
2500 MG 60 CAPS</x:v>
      </x:c>
      <x:c r="F16" s="131" t="str">
        <x:v>Serving Size: 1 Capsule
Servings Per Container: 60
Serving Size: 1 Capsule
Servings Per Container: 60
Amount Per Serving % Daily Value*
* Daily Value not established
Berberine HCI Extract 
 (Berberis Aristata) (Bark)
 ** (10:1 extract, equivalent to 1.500mg of raw
 Berberine HCI)
Ceylon Cinnamon Extract
 (Cinnamomum verum)
 ** (10:1 extract, equivalent to 1.000mg of raw 
 Ceylon Cinnamon)
150mg *
100mg *
NO
STARCH CORN EGGS LACTOSE GLUTEN 
WHEAT YEAST SOY ARTIFICIAL COLORS AND 
FLAVORS SUGAR PRESERVATIVES
•
• • •
• •
• •
•
NON-GMO
BEST BY: 06/2029 | BATCH NO: BR-2026-0270
850031157651 - NEW BERBERINE 60 CAPS
* These statements have not been evaluated by the Food and Drug 
Administration. This product is not intended to diagnose, treat, cure, or 
prevent any disease.
2500 MG 60 CAPS
Non-GMO Gluten-FreePer Serving
Berberine
 WITH CEYLON CINNAMON
VEGAN
CAPSULES
Dietary Supplement Traditional Herb
PRODUCED AND QUALITY TESTED IN THE 
USA USING GLOBALLY SOURCED INGREDIENTS.
+1 (917)908-1328
HEALTHFAREGROUP
HEALTHFARE</x:v>
      </x:c>
      <x:c r="G16" s="131" t="str">
        <x:v>Rice Flour, Capsule (Hypromellose,</x:v>
      </x:c>
      <x:c r="H16" s="131" t="str">
        <x:v>Take one (1) capsule daily,</x:v>
      </x:c>
      <x:c r="I16" s="131" t="str">
        <x:v>Berberine\Berberine 2500mg 60caps\Mockup &amp; Label\Berberine 2500mg - Impressão.pdf</x:v>
      </x:c>
      <x:c r="J16" s="131" t="str"/>
    </x:row>
    <x:row r="17" ht="120" customHeight="1">
      <x:c r="A17" s="131" t="str">
        <x:v>Berberine 6000mg 150caps</x:v>
      </x:c>
      <x:c r="B17" s="131" t="str">
        <x:v>Berberine</x:v>
      </x:c>
      <x:c r="C17" s="131" t="str">
        <x:v>1 Capsule</x:v>
      </x:c>
      <x:c r="D17" s="132" t="n">
        <x:v>150</x:v>
      </x:c>
      <x:c r="E17" s="131" t="str">
        <x:v>** (50:1 extract, equivalent to 5,000mg of raw
100mg (0.10g) *
20mg (0.02g) *
** (50:1 extract, equivalent to 1,000mg of raw
6000 MG 150 CAPS</x:v>
      </x:c>
      <x:c r="F17" s="131" t="str">
        <x:v>Serving Size: 1 Capsule
Servings Per Container: 150
Serving Size: 1 Capsule
Servings Per Container: 150
 ** (50:1 extract, equivalent to 1,000mg of raw 
 Ceylon Cinnamon)
NO
STARCH CORN EGGS LACTOSE GLUTEN 
WHEAT YEAST SOY ARTIFICIAL COLORS AND 
FLAVORS SUGAR PRESERVATIVES
•
• • •
• •
• •
•
NON-GMO
850031157644 - NEW BERBERINE 150 CAPS
Traditional Herb
THE COLOR OF THIS PRODUCT NATURALLY VARIES
VEGAN
CAPSULES
6000 MG 150 CAPS
Non-GMO
Non-GMO
Gluten-Free Gluten-Free
+1 (917)908-1328
HEALTHFAREGROUP
HEALTHFARE</x:v>
      </x:c>
      <x:c r="G17" s="131" t="str">
        <x:v>ES: Rice Flour, Capsule (Hypromellose, Water),</x:v>
      </x:c>
      <x:c r="H17" s="131" t="str">
        <x:v>Take one (1) capsule daily, preferably</x:v>
      </x:c>
      <x:c r="I17" s="131" t="str">
        <x:v>Berberine\Berberine 6000mg 150caps\Mockup &amp; Label\Berberine - Impressão.pdf</x:v>
      </x:c>
      <x:c r="J17" s="131" t="str">
        <x:v>Lote extraído de texto vetorial; confirmar visualmente antes de uso operacional.</x:v>
      </x:c>
    </x:row>
    <x:row r="18" ht="120" customHeight="1">
      <x:c r="A18" s="131" t="str">
        <x:v>Berberine HCL 5000mg 120caps</x:v>
      </x:c>
      <x:c r="B18" s="131" t="str">
        <x:v>Berberine</x:v>
      </x:c>
      <x:c r="C18" s="131" t="str">
        <x:v>2 Capsules</x:v>
      </x:c>
      <x:c r="D18" s="132" t="n">
        <x:v>60</x:v>
      </x:c>
      <x:c r="E18" s="131" t="str">
        <x:v>(50:1 extract, 100mg equivalent to 5,000mg of raw Berberine HCL)
5000mg (5g) *
5000 MG 120 CAPS</x:v>
      </x:c>
      <x:c r="F18" s="131" t="str">
        <x:v>Serving Size: 2 Capsules
Servings Per Container: 60
Serving Size: 2 Capsules
Servings Per Container: 60
NO
STARCH CORN EGGS LACTOSE GLUTEN 
WHEAT YEAST SOY ARTIFICIAL COLORS AND 
FLAVORS SUGAR PRESERVATIVES
•
• • •
• •
• •
•
NON-GMO
850054045430 - NEW BERBERINE HCL
Traditional Herb
THE COLOR OF THIS PRODUCT NATURALLY VARIES
VEGAN
CAPSULES
+1 (917)908-1328
HEALTHFAREGROUP
HEALTHFARE</x:v>
      </x:c>
      <x:c r="G18" s="131" t="str">
        <x:v>ES: Rice Flour, Capsule (Hypromellose, Water),</x:v>
      </x:c>
      <x:c r="H18" s="131" t="str">
        <x:v>Take two (2) capsules daily, preferably</x:v>
      </x:c>
      <x:c r="I18" s="131" t="str">
        <x:v>Berberine\Berberine HCL 5000mg 120caps\Mockup &amp; Label\Berberine hcl 5000mg 120 Capsules - Padrão.pdf</x:v>
      </x:c>
      <x:c r="J18" s="131" t="str">
        <x:v>Lote extraído de texto vetorial; confirmar visualmente antes de uso operacional.</x:v>
      </x:c>
    </x:row>
    <x:row r="19" ht="120" customHeight="1">
      <x:c r="A19" s="131" t="str">
        <x:v>Bilberry</x:v>
      </x:c>
      <x:c r="B19" s="131" t="str">
        <x:v>Bilberry</x:v>
      </x:c>
      <x:c r="C19" s="131" t="str">
        <x:v>3 Capsules</x:v>
      </x:c>
      <x:c r="D19" s="132" t="n">
        <x:v>66</x:v>
      </x:c>
      <x:c r="E19" s="131" t="str">
        <x:v>Bilberry Extract 1,250mg (1.2g) *
** (4:1 extract, equivalent to 5,000mg of raw
5000 MG</x:v>
      </x:c>
      <x:c r="F19" s="131" t="str">
        <x:v>Serving Size: 3 Capsules
Servings Per Container: 66
Serving Size: 3 Capsules
Servings Per Container: 66
(Vaccinium myrtillus) (Fruit)
** (4:1 extract, equivalent to 5,000mg of raw
 Bilberry)
Dietary Supplement
5000 MG
NO
STARCH CORN EGGS LACTOSE GLUTEN 
WHEAT YEAST SOY ARTIFICIAL COLORS AND 
FLAVORS SUGAR PRESERVATIVES
•
• • •
• •
• •
•
NON-GMO
BILBERRY
200 CAPS
Non-GMO Gluten-Free THE COLOR OF THIS PRODUCT NATURALLY VARIES
Traditional Herb
850031157484 - NEW BILBERRY VEGAN
CAPSULES
+1 (917)908-1328
HEALTHFAREGROUP
HEALTHFARE</x:v>
      </x:c>
      <x:c r="G19" s="131" t="str">
        <x:v>ES: Rice Flour, Capsule (Hypromellose, Water),</x:v>
      </x:c>
      <x:c r="H19" s="131" t="str">
        <x:v>Take three (3) capsules daily, preferably</x:v>
      </x:c>
      <x:c r="I19" s="131" t="str">
        <x:v>Bilberry\Mockup &amp; Label\Bilberry - Impressão.pdf</x:v>
      </x:c>
      <x:c r="J19" s="131" t="str"/>
    </x:row>
    <x:row r="20" ht="120" customHeight="1">
      <x:c r="A20" s="131" t="str">
        <x:v>Bitter Melon</x:v>
      </x:c>
      <x:c r="B20" s="131" t="str">
        <x:v>Bitter Melon</x:v>
      </x:c>
      <x:c r="C20" s="131" t="str">
        <x:v>3 Capsules</x:v>
      </x:c>
      <x:c r="D20" s="132" t="n">
        <x:v>66</x:v>
      </x:c>
      <x:c r="E20" s="131" t="str">
        <x:v>** (10:1 extract, equivalent to 9,500mg of raw
950mg (0.95g) *
9500 MG 200 CAPS</x:v>
      </x:c>
      <x:c r="F20" s="131" t="str">
        <x:v>Serving Size: 3 Capsules
Servings Per Container: 66
Serving Size: 3 Capsules
Servings Per Container: 66
Dietary Supplement Traditional Herb
NO
STARCH CORN EGGS LACTOSE GLUTEN 
WHEAT YEAST SOY ARTIFICIAL COLORS AND 
FLAVORS SUGAR PRESERVATIVES
•
• • •
• •
• •
•
NON-GMO
THE COLOR OF THIS PRODUCT NATURALLY VARIES
850031157453 - NEW BITTER MELON
VEGAN
CAPSULES
9500 MG 200 CAPS
Non-GMO Gluten-Free
+1 (917)908-1328
HEALTHFAREGROUP
HEALTHFARE</x:v>
      </x:c>
      <x:c r="G20" s="131" t="str">
        <x:v>ES: Rice Flour, Capsule (Hypromellose, Water),</x:v>
      </x:c>
      <x:c r="H20" s="131" t="str">
        <x:v>Take three (3) capsules daily, preferably</x:v>
      </x:c>
      <x:c r="I20" s="131" t="str">
        <x:v>Bitter Melon\Mockup &amp; Label\Bitter Melon - Impressão.pdf</x:v>
      </x:c>
      <x:c r="J20" s="131" t="str"/>
    </x:row>
    <x:row r="21" ht="120" customHeight="1">
      <x:c r="A21" s="131" t="str">
        <x:v>Black Garlic 2000mg 90caps</x:v>
      </x:c>
      <x:c r="B21" s="131" t="str">
        <x:v>Black Garlic</x:v>
      </x:c>
      <x:c r="C21" s="131" t="str">
        <x:v>1 Capsule</x:v>
      </x:c>
      <x:c r="D21" s="132" t="n">
        <x:v>90</x:v>
      </x:c>
      <x:c r="E21" s="131" t="str">
        <x:v>2000 MG 90 CAPS
(10:1 extract, equivalent to 2,000mg of raw
200mg (0.2g) *</x:v>
      </x:c>
      <x:c r="F21" s="131" t="str">
        <x:v>Serving Size: 1 Capsule
Servings Per Container: 90
Serving Size: 1 Capsule
Servings Per Container: 90
**
NO
STARCH CORN EGGS LACTOSE GLUTEN 
WHEAT YEAST SOY ARTIFICIAL COLORS AND 
FLAVORS SUGAR PRESERVATIVES
•
• • •
• •
• •
•
NON-GMO
THE COLOR OF THIS PRODUCT NATURALLY VARIES
PRODUCED AND QUALITY TESTED IN THE 
USA USING GLOBALLY SOURCED INGREDIENTS.
GMPGOOD MANUFACTURING PRACTICE
CE R T I F I E D
 STORE THIS PRODUCT IN A COOL AND DRY PLACE
THIRD PARTY TESTED*
Per Serving
BEST BY: 04/2029 | BATCH NO: BR-2026-0296</x:v>
      </x:c>
      <x:c r="G21" s="131" t="str">
        <x:v>Rice Flour, Capsule (Hypromellose,</x:v>
      </x:c>
      <x:c r="H21" s="131" t="str">
        <x:v>Take one (1) capsule daily,</x:v>
      </x:c>
      <x:c r="I21" s="131" t="str">
        <x:v>Black Garlic\Black Garlic 2000mg 90caps\Mockup &amp; Label\Black Garlic - Impressão.pdf</x:v>
      </x:c>
      <x:c r="J21" s="131" t="str"/>
    </x:row>
    <x:row r="22" ht="120" customHeight="1">
      <x:c r="A22" s="131" t="str">
        <x:v>Black Garlic C2 2000mg 180caps (2 Bottles)</x:v>
      </x:c>
      <x:c r="B22" s="131" t="str">
        <x:v>Black Garlic</x:v>
      </x:c>
      <x:c r="C22" s="131" t="str">
        <x:v>1 Capsule</x:v>
      </x:c>
      <x:c r="D22" s="132" t="n">
        <x:v>90</x:v>
      </x:c>
      <x:c r="E22" s="131" t="str">
        <x:v>2000 MG 90 CAPS
(10:1 extract, equivalent to 2,000mg of raw
200mg (0.2g) *</x:v>
      </x:c>
      <x:c r="F22" s="131" t="str">
        <x:v>Serving Size: 1 Capsule
Servings Per Container: 90
Serving Size: 1 Capsule
Servings Per Container: 90
**
NO
STARCH CORN EGGS LACTOSE GLUTEN 
WHEAT YEAST SOY ARTIFICIAL COLORS AND 
FLAVORS SUGAR PRESERVATIVES
•
• • •
• •
• •
•
NON-GMO
THE COLOR OF THIS PRODUCT NATURALLY VARIES
PRODUCED AND QUALITY TESTED IN THE 
USA USING GLOBALLY SOURCED INGREDIENTS.
GMPGOOD MANUFACTURING PRACTICE
CE R T I F I E D
 STORE THIS PRODUCT IN A COOL AND DRY PLACE
THIRD PARTY TESTED*
Per Serving
BEST BY: 04/2029 | BATCH NO: BR-2026-0226</x:v>
      </x:c>
      <x:c r="G22" s="131" t="str">
        <x:v>Rice Flour, Capsule (Hypromellose,</x:v>
      </x:c>
      <x:c r="H22" s="131" t="str">
        <x:v>Take one (1) capsule daily,</x:v>
      </x:c>
      <x:c r="I22" s="131" t="str">
        <x:v>Black Garlic\Black Garlic C2 2000mg 180caps (2 Bottles)\Mockup &amp; Label\Black Garlic - Impressão.pdf</x:v>
      </x:c>
      <x:c r="J22" s="131" t="str"/>
    </x:row>
    <x:row r="23" ht="120" customHeight="1">
      <x:c r="A23" s="131" t="str">
        <x:v>Butchers Broom</x:v>
      </x:c>
      <x:c r="B23" s="131" t="str">
        <x:v>Butchers Broom</x:v>
      </x:c>
      <x:c r="C23" s="131" t="str">
        <x:v>3 Capsules</x:v>
      </x:c>
      <x:c r="D23" s="132" t="n">
        <x:v>40</x:v>
      </x:c>
      <x:c r="E23" s="131" t="str">
        <x:v>Butcher’s Broom Extract 600mg (0.6g) *
(4:1 extract, equivalent to 2,400mg of raw</x:v>
      </x:c>
      <x:c r="F23" s="131" t="str">
        <x:v>Serving Size: 3 Capsules
Servings Per Container: 40
Serving Size: 3 Capsules
Servings Per Container: 40
(Ruscus aculeatus) (root)
(4:1 extract, equivalent to 2,400mg of raw
Butcher’s Broom)
**
THE COLOR OF THIS PRODUCT NATURALLY VARIES2400 MG
Non-GMO Gluten-Free
120 CAPS
Traditional Herb
850031157507 - NEW BUTCHER’S BROOM
BUTCHER’S
BROOM
VEGAN
CAPSULES
+1 (917)908-1328
HEALTHFAREGROUP
HEALTHFARE</x:v>
      </x:c>
      <x:c r="G23" s="131" t="str">
        <x:v>ES: Rice Flour, Capsule (Hypromellose, Water),</x:v>
      </x:c>
      <x:c r="H23" s="131" t="str">
        <x:v>Take three (3) capsules daily, preferably</x:v>
      </x:c>
      <x:c r="I23" s="131" t="str">
        <x:v>Butchers Broom\Mockup &amp; Label\Butchers Broom - Impressão.pdf</x:v>
      </x:c>
      <x:c r="J23" s="131" t="str">
        <x:v>Lote extraído de texto vetorial; confirmar visualmente antes de uso operacional.</x:v>
      </x:c>
    </x:row>
    <x:row r="24" ht="120" customHeight="1">
      <x:c r="A24" s="131" t="str">
        <x:v>Cayenne Pepper</x:v>
      </x:c>
      <x:c r="B24" s="131" t="str">
        <x:v>Cayenne Pepper</x:v>
      </x:c>
      <x:c r="C24" s="131" t="str">
        <x:v>2 Capsules</x:v>
      </x:c>
      <x:c r="D24" s="132" t="n">
        <x:v>100</x:v>
      </x:c>
      <x:c r="E24" s="131" t="str">
        <x:v>** (10:1 extract, equivalent to 600mg of raw
60mg (0.06g) *
600 MG</x:v>
      </x:c>
      <x:c r="F24" s="131" t="str">
        <x:v>Serving Size: 2 Capsules
Servings Per Container: 100
Serving Size: 2 Capsules
Servings Per Container: 100
Dietary Supplement
NO
STARCH CORN EGGS LACTOSE GLUTEN 
WHEAT YEAST SOY ARTIFICIAL COLORS AND 
FLAVORS SUGAR PRESERVATIVES
•
• • •
• •
• •
•
NON-GMO
850054045232 - NEW CAYENNE PEPPER
THE COLOR OF THIS PRODUCT NATURALLY VARIES200 CAPS
Non-GMO
Non-GMO
Gluten-Free Gluten-Free
600 MG
VEGAN
CAPSULES
+1 (917)908-1328
HEALTHFAREGROUP
HEALTHFARE</x:v>
      </x:c>
      <x:c r="G24" s="131" t="str">
        <x:v>ES: Rice Flour, Capsule (Hypromellose, Water),</x:v>
      </x:c>
      <x:c r="H24" s="131" t="str">
        <x:v>Take two (2) capsules daily, preferably</x:v>
      </x:c>
      <x:c r="I24" s="131" t="str">
        <x:v>Cayenne Pepper\Mockup &amp; Label\Cayenne Pepper - Impressão.pdf</x:v>
      </x:c>
      <x:c r="J24" s="131" t="str">
        <x:v>Conteúdo calculado como porção x porções por frasco.</x:v>
      </x:c>
    </x:row>
    <x:row r="25" ht="120" customHeight="1">
      <x:c r="A25" s="131" t="str">
        <x:v>Chinese Skullcap</x:v>
      </x:c>
      <x:c r="B25" s="131" t="str">
        <x:v>Chinese Skullcap</x:v>
      </x:c>
      <x:c r="C25" s="131" t="str">
        <x:v>1 Capsule</x:v>
      </x:c>
      <x:c r="D25" s="132" t="n">
        <x:v>200</x:v>
      </x:c>
      <x:c r="E25" s="131" t="str">
        <x:v>Chinese Skullcap Extract 83,33mg (0.08g) *
(12:1 extract, equivalent to 1,000mg of raw
1000 MG 200 CAPS</x:v>
      </x:c>
      <x:c r="F25" s="131" t="str">
        <x:v>Serving Size: 1 Capsule
Servings Per Container: 200
Serving Size: 1 Capsule
Servings Per Container: 200
(Scutellaria baicalensis) (root)
 (12:1 extract, equivalent to 1,000mg of raw
 Chinese Skullcap)
**
NO
STARCH CORN EGGS LACTOSE GLUTEN 
WHEAT YEAST SOY ARTIFICIAL COLORS AND 
FLAVORS SUGAR PRESERVATIVES
•
• • •
• •
• •
•
NON-GMO
THE COLOR OF THIS PRODUCT NATURALLY VARIES
Traditional Herb
850031157170 - NEW CHINESE SKULLCAP
VEGAN
CAPSULES
+1 (917)908-1328
HEALTHFAREGROUP
HEALTHFARE</x:v>
      </x:c>
      <x:c r="G25" s="131" t="str">
        <x:v>ES: Rice Flour, Capsule (Hypromellose, Water),</x:v>
      </x:c>
      <x:c r="H25" s="131" t="str">
        <x:v>Take one (1) capsule daily, preferably</x:v>
      </x:c>
      <x:c r="I25" s="131" t="str">
        <x:v>Chinese Skullcap\Mockup &amp; Label\Chinese Skullcap - Impressão.pdf</x:v>
      </x:c>
      <x:c r="J25" s="131" t="str">
        <x:v>Lote extraído de texto vetorial; confirmar visualmente antes de uso operacional.</x:v>
      </x:c>
    </x:row>
    <x:row r="26" ht="120" customHeight="1">
      <x:c r="A26" s="131" t="str">
        <x:v>Chlorophyll</x:v>
      </x:c>
      <x:c r="B26" s="131" t="str">
        <x:v>Chlorophyll</x:v>
      </x:c>
      <x:c r="C26" s="131" t="str">
        <x:v>2 Capsules</x:v>
      </x:c>
      <x:c r="D26" s="132" t="n">
        <x:v>75</x:v>
      </x:c>
      <x:c r="E26" s="131" t="str">
        <x:v>600mg (0.6g) *
600 MG</x:v>
      </x:c>
      <x:c r="F26" s="131" t="str">
        <x:v>Serving Size: 2 Capsules
Servings Per Container: 75
NO
STARCH CORN EGGS LACTOSE GLUTEN 
WHEAT YEAST SOY ARTIFICIAL COLORS AND 
FLAVORS SUGAR PRESERVATIVES
•
• • •
• •
• •
•
NON-GMO
STORE THIS PRODUCT IN A COOL AND DRY PLACE
BEST BY: 02/2029 | BATCH NO: BR-2026-0225
850054045300 - NEW CHLOROPHYLL
VEGAN
CAPSULES
600 MG
Per Serving
150 CAPS
Non-GMO Gluten-Free
+1 (917)908-1328
HEALTHFAREGROUP
HEALTHFARE</x:v>
      </x:c>
      <x:c r="G26" s="131" t="str">
        <x:v>Rice Flour, Capsule (Hypromellose,</x:v>
      </x:c>
      <x:c r="H26" s="131" t="str">
        <x:v>Take two (2) capsules daily, preferably</x:v>
      </x:c>
      <x:c r="I26" s="131" t="str">
        <x:v>Chlorophyll\Mockup &amp; Label\Chlorophyll - Impressão.pdf</x:v>
      </x:c>
      <x:c r="J26" s="131" t="str"/>
    </x:row>
    <x:row r="27" ht="120" customHeight="1">
      <x:c r="A27" s="131" t="str">
        <x:v>Chromium Picolinate C2, 1000mcg, 800tablets (2 Bottles)</x:v>
      </x:c>
      <x:c r="B27" s="131" t="str">
        <x:v>Chromium</x:v>
      </x:c>
      <x:c r="C27" s="131" t="str">
        <x:v>1 Tablet</x:v>
      </x:c>
      <x:c r="D27" s="132" t="n">
        <x:v>400</x:v>
      </x:c>
      <x:c r="E27" s="131" t="str">
        <x:v>Chromium 1000 mcg 2,857%</x:v>
      </x:c>
      <x:c r="F27" s="131" t="str">
        <x:v>Serving Size: 1 Tablet
Servings Per Container: 400
Serving Size: 1 Tablet
Servings Per Container: 400
(as Chromium Picolinate)
NO
STARCH CORN EGGS LACTOSE GLUTEN 
WHEAT YEAST SOY ARTIFICIAL COLORS AND 
FLAVORS SUGAR PRESERVATIVES
•
• • •
• •
• •
•
NON-GMO
BEST BY: 02/2029 | BATCH NO: BR-2026-0168
+1 (917)908-1328
HEALTHFAREGROUP
HEALTHFARE</x:v>
      </x:c>
      <x:c r="G27" s="131" t="str">
        <x:v>Microcrystalline Cellulose, Dicalcium Phosphate,</x:v>
      </x:c>
      <x:c r="H27" s="131" t="str">
        <x:v>Take one (1) vegetarian tablet daily,</x:v>
      </x:c>
      <x:c r="I27" s="131" t="str">
        <x:v>Chromium\Chromium Picolinate C2, 1000mcg, 800tablets (2 Bottles)\Mockup &amp; Label\Chromium - Impressão.pdf</x:v>
      </x:c>
      <x:c r="J27" s="131" t="str"/>
    </x:row>
    <x:row r="28" ht="120" customHeight="1">
      <x:c r="A28" s="131" t="str">
        <x:v>Chromium Picolinate, 1000mcg, 400tablets</x:v>
      </x:c>
      <x:c r="B28" s="131" t="str">
        <x:v>Chromium</x:v>
      </x:c>
      <x:c r="C28" s="131" t="str">
        <x:v>1 Tablet</x:v>
      </x:c>
      <x:c r="D28" s="132" t="n">
        <x:v>400</x:v>
      </x:c>
      <x:c r="E28" s="131" t="str">
        <x:v>Chromium 1000 mcg 2,857%</x:v>
      </x:c>
      <x:c r="F28" s="131" t="str">
        <x:v>Serving Size: 1 Tablet
Servings Per Container: 400
Serving Size: 1 Tablet
Servings Per Container: 400
(as Chromium Picolinate)
NO
STARCH CORN EGGS LACTOSE GLUTEN 
WHEAT YEAST SOY ARTIFICIAL COLORS AND 
FLAVORS SUGAR PRESERVATIVES
•
• • •
• •
• •
•
NON-GMO
BEST BY: 02/2029 | BATCH NO: BR-2026-0168
+1 (917)908-1328
HEALTHFAREGROUP
HEALTHFARE</x:v>
      </x:c>
      <x:c r="G28" s="131" t="str">
        <x:v>Microcrystalline Cellulose, Dicalcium Phosphate,</x:v>
      </x:c>
      <x:c r="H28" s="131" t="str">
        <x:v>Take one (1) vegetarian tablet daily,</x:v>
      </x:c>
      <x:c r="I28" s="131" t="str">
        <x:v>Chromium\Chromium Picolinate, 1000mcg, 400tablets\Mockup &amp; Label\Chromium - Impressão.pdf</x:v>
      </x:c>
      <x:c r="J28" s="131" t="str"/>
    </x:row>
    <x:row r="29" ht="120" customHeight="1">
      <x:c r="A29" s="131" t="str">
        <x:v>Citrus Bergamot</x:v>
      </x:c>
      <x:c r="B29" s="131" t="str">
        <x:v>Citrus Bergamot</x:v>
      </x:c>
      <x:c r="C29" s="131" t="str">
        <x:v>2 Capsules</x:v>
      </x:c>
      <x:c r="D29" s="132" t="n">
        <x:v>75</x:v>
      </x:c>
      <x:c r="E29" s="131" t="str">
        <x:v>Citrus Bergamot 1200mg (1.2g) *
1200 MG</x:v>
      </x:c>
      <x:c r="F29" s="131" t="str">
        <x:v>Serving Size: 2 Capsules
Servings Per Container: 75
Serving Size: 2 Capsules
Servings Per Container: 75
(Citrus bergamia) (Fruit) 
NO
STARCH CORN EGGS LACTOSE GLUTEN 
WHEAT YEAST SOY ARTIFICIAL COLORS AND 
FLAVORS SUGAR PRESERVATIVES
•
• • •
• •
• •
•
NON-GMO
THE COLOR OF THIS PRODUCT NATURALLY VARIES
STORE THIS PRODUCT IN A COOL AND DRY PLACE
OTHER INGREDIENTES: Rice Flour, Capsule (Hypromellose, Water), 
Magnesium Stearate (Vegetable Source).
THIRD PARTY TESTED*
VEGAN
CAPSULES
Dietary Supplement Traditional Herb
Per Serving
Bergamot
/gid00036/gid00072/gid00083/gid00081/gid00084/gid00082
150 CAPS
Gluten-FreeNon-GMO
1200 MG
Per Serving</x:v>
      </x:c>
      <x:c r="G29" s="131" t="str">
        <x:v>ES: Rice Flour, Capsule (Hypromellose, Water),</x:v>
      </x:c>
      <x:c r="H29" s="131" t="str">
        <x:v>Take two (2) capsules daily, preferably</x:v>
      </x:c>
      <x:c r="I29" s="131" t="str">
        <x:v>Citrus Bergamot\Mockup &amp; Label\Citrus Bergamot  - Impressão.pdf</x:v>
      </x:c>
      <x:c r="J29" s="131" t="str"/>
    </x:row>
    <x:row r="30" ht="120" customHeight="1">
      <x:c r="A30" s="131" t="str">
        <x:v>D-Aspartic</x:v>
      </x:c>
      <x:c r="B30" s="131" t="str">
        <x:v>D-Aspartic</x:v>
      </x:c>
      <x:c r="C30" s="131" t="str">
        <x:v>4 Capsules</x:v>
      </x:c>
      <x:c r="D30" s="132" t="n">
        <x:v>50</x:v>
      </x:c>
      <x:c r="E30" s="131" t="str">
        <x:v>D-Aspartic Acid 3,000mg (3g) *
3000 MG</x:v>
      </x:c>
      <x:c r="F30" s="131" t="str">
        <x:v>Serving Size: 4 Capsules
Servings Per Container: 50
Serving Size: 4 Capsules
Servings Per Container: 50
Dietary Supplement
3000 MG
Per Serving
200 CAPS
Non-GMO Gluten-Free
NO
STARCH CORN EGGS LACTOSE GLUTEN 
WHEAT YEAST SOY ARTIFICIAL COLORS AND 
FLAVORS SUGAR PRESERVATIVES
•
• • •
• •
• •
•
NON-GMO
850031157477 - NEW D-ASPARTIC ACID
VEGAN
CAPSULES
+1 (917)908-1328
HEALTHFAREGROUP
HEALTHFARE</x:v>
      </x:c>
      <x:c r="G30" s="131" t="str">
        <x:v>ES: Rice Flour, Capsule (Hypromellose, Water),</x:v>
      </x:c>
      <x:c r="H30" s="131" t="str">
        <x:v>Take four (4) capsules daily, preferably</x:v>
      </x:c>
      <x:c r="I30" s="131" t="str">
        <x:v>D-Aspartic\Mockup &amp; Label\D-Aspartic - Impressão.pdf</x:v>
      </x:c>
      <x:c r="J30" s="131" t="str">
        <x:v>Lote extraído de texto vetorial; confirmar visualmente antes de uso operacional.</x:v>
      </x:c>
    </x:row>
    <x:row r="31" ht="120" customHeight="1">
      <x:c r="A31" s="131" t="str">
        <x:v>Devil's Claw</x:v>
      </x:c>
      <x:c r="B31" s="131" t="str">
        <x:v>Devil's Claw</x:v>
      </x:c>
      <x:c r="C31" s="131" t="str">
        <x:v>2 Capsules</x:v>
      </x:c>
      <x:c r="D31" s="132" t="n">
        <x:v>60</x:v>
      </x:c>
      <x:c r="E31" s="131" t="str">
        <x:v>Devil’s Claw Extract 650mg (0.65g) *
** (4:1 extract, equivalent to 2,600mg of raw
2600 MG 120 CAPS</x:v>
      </x:c>
      <x:c r="F31" s="131" t="str">
        <x:v>Serving Size: 2 Capsules
Servings Per Container: 60
Serving Size: 2 Capsules
Servings Per Container: 60
 (Harpagophytum procumbens) (root)
** (4:1 extract, equivalent to 2,600mg of raw
 Devil’s Claw)
2600 MG 120 CAPS
Non-GMO Gluten-Free
850031157514 - NEW DEVIL’S CLAW
VEGAN
CAPSULES
+1 (917)908-1328
HEALTHFAREGROUP
HEALTHFARE</x:v>
      </x:c>
      <x:c r="G31" s="131" t="str">
        <x:v>ES: Rice Flour, Capsule (Hypromellose, Water),</x:v>
      </x:c>
      <x:c r="H31" s="131" t="str">
        <x:v>Take two (2) capsules daily, preferably</x:v>
      </x:c>
      <x:c r="I31" s="131" t="str">
        <x:v>Devil's Claw\Mockup &amp; Label\Devil's Claw - Impressão.pdf</x:v>
      </x:c>
      <x:c r="J31" s="131" t="str">
        <x:v>Lote extraído de texto vetorial; confirmar visualmente antes de uso operacional.</x:v>
      </x:c>
    </x:row>
    <x:row r="32" ht="120" customHeight="1">
      <x:c r="A32" s="131" t="str">
        <x:v>Fadogia Agrestis</x:v>
      </x:c>
      <x:c r="B32" s="131" t="str">
        <x:v>Fadogia Agrestis</x:v>
      </x:c>
      <x:c r="C32" s="131" t="str">
        <x:v>2 Capsules</x:v>
      </x:c>
      <x:c r="D32" s="132" t="n">
        <x:v>100</x:v>
      </x:c>
      <x:c r="E32" s="131" t="str">
        <x:v>600 MG
Fadogia Agrestis Extract 600mg (0.60g) *
(Equivalent to 600mg of raw</x:v>
      </x:c>
      <x:c r="F32" s="131" t="str">
        <x:v>Serving Size: 2 Capsules
Servings Per Container: 100
Serving Size: 2 Capsules
Servings Per Container: 100
(Fadogia Agrestis) (stem)
 (Equivalent to 600mg of raw 
 Fadogia Agrestis)
NO
STARCH CORN EGGS LACTOSE GLUTEN 
WHEAT YEAST SOY ARTIFICIAL COLORS AND 
FLAVORS SUGAR PRESERVATIVES
•
• • •
• •
• •
•
NON-GMO
THE COLOR OF THIS PRODUCT NATURALLY VARIES
Traditional Herb
850054045256 - NEW FADOGIA AGRESTIS
VEGAN
CAPSULES
+1 (917)908-1328
HEALTHFAREGROUP
HEALTHFARE</x:v>
      </x:c>
      <x:c r="G32" s="131" t="str">
        <x:v>ES: Rice Flour, Capsule (Hypromellose, Water),</x:v>
      </x:c>
      <x:c r="H32" s="131" t="str">
        <x:v>Take two (2) capsules daily, preferably</x:v>
      </x:c>
      <x:c r="I32" s="131" t="str">
        <x:v>Fadogia Agrestis\Mockup &amp; Label\Fadogia Agrestis - Impressão.pdf</x:v>
      </x:c>
      <x:c r="J32" s="131" t="str">
        <x:v>Lote extraído de texto vetorial; confirmar visualmente antes de uso operacional.</x:v>
      </x:c>
    </x:row>
    <x:row r="33" ht="120" customHeight="1">
      <x:c r="A33" s="131" t="str">
        <x:v>Feminiva 600mg, 30sup</x:v>
      </x:c>
      <x:c r="B33" s="131" t="str">
        <x:v>Feminiva</x:v>
      </x:c>
      <x:c r="C33" s="131" t="str">
        <x:v>1 Capsule</x:v>
      </x:c>
      <x:c r="D33" s="132" t="n">
        <x:v>30</x:v>
      </x:c>
      <x:c r="E33" s="131" t="str">
        <x:v>Boric Acid 600mg *
600 MG VAGINAL SUPPOSITORIES</x:v>
      </x:c>
      <x:c r="F33" s="131" t="str">
        <x:v>Serving Size: 1 Capsule
Servings Per Container: 30
Serving Size: 1 Capsule
Servings Per Container: 30
Amount Per Serving % Daily Value*
Boric Acid 600mg *
* Daily Value not established
NO
STARCH CORN EGGS LACTOSE GLUTEN 
WHEAT YEAST SOY ARTIFICIAL COLORS AND 
FLAVORS SUGAR PRESERVATIVES
•
• • •
• •
• •
•
NON-GMO
BEST BY: 02/2030 | BATCH NO: BR-2026-0204
STORE THIS PRODUCT IN A COOL AND DRY PLACE
766871530670 - NEW FEMINIVA
600 MG VAGINAL SUPPOSITORIES
30 CAPS
* These statements have not been evaluated by the Food and Drug Administration. This 
product is not intended to diagnose, treat, cure, or prevent any disease.
FOR VAGINAL USE ONLY
NOT FOR ORAL CONSUMPTION:
If swallowed seek medical assistance or contact a Poison Control 
Center (1-800-222-1222) immediately
FEMINIVA
BORIC ACID
+1 (917)908-1328
HEALTHFAREGROUP
HEALTHFARE</x:v>
      </x:c>
      <x:c r="G33" s="131" t="str">
        <x:v>Vegetable Magnesium Stearate</x:v>
      </x:c>
      <x:c r="H33" s="131" t="str">
        <x:v>Insert one (1) Feminiva Boric Suppository into the</x:v>
      </x:c>
      <x:c r="I33" s="131" t="str">
        <x:v>Feminiva\Feminiva 600mg, 30sup\Mockup &amp; Label\Feminiva - Impressão.pdf</x:v>
      </x:c>
      <x:c r="J33" s="131" t="str"/>
    </x:row>
    <x:row r="34" ht="120" customHeight="1">
      <x:c r="A34" s="131" t="str">
        <x:v>Feminiva 600mg, 60sup (2 Bottles)</x:v>
      </x:c>
      <x:c r="B34" s="131" t="str">
        <x:v>Feminiva</x:v>
      </x:c>
      <x:c r="C34" s="131" t="str">
        <x:v>1 Capsule</x:v>
      </x:c>
      <x:c r="D34" s="132" t="n">
        <x:v>30</x:v>
      </x:c>
      <x:c r="E34" s="131" t="str">
        <x:v>Boric Acid 600mg *
600 MG VAGINAL SUPPOSITORIES</x:v>
      </x:c>
      <x:c r="F34" s="131" t="str">
        <x:v>Serving Size: 1 Capsule
Servings Per Container: 30
Serving Size: 1 Capsule
Servings Per Container: 30
Amount Per Serving % Daily Value*
Boric Acid 600mg *
* Daily Value not established
NO
STARCH CORN EGGS LACTOSE GLUTEN 
WHEAT YEAST SOY ARTIFICIAL COLORS AND 
FLAVORS SUGAR PRESERVATIVES
•
• • •
• •
• •
•
NON-GMO
BEST BY: 02/2030 | BATCH NO: 1000-3015600
STORE THIS PRODUCT IN A COOL AND DRY PLACE
766871530670 - NEW FEMINIVA
600 MG VAGINAL SUPPOSITORIES
30 CAPS
* These statements have not been evaluated by the Food and Drug Administration. This 
product is not intended to diagnose, treat, cure, or prevent any disease.
FOR VAGINAL USE ONLY
NOT FOR ORAL CONSUMPTION:
If swallowed seek medical assistance or contact a Poison Control 
Center (1-800-222-1222) immediately
FEMINIVA
BORIC ACID
+1 (917)908-1328
HEALTHFAREGROUP
HEALTHFARE</x:v>
      </x:c>
      <x:c r="G34" s="131" t="str">
        <x:v>Vegetable Magnesium Stearate</x:v>
      </x:c>
      <x:c r="H34" s="131" t="str">
        <x:v>Insert one (1) Feminiva Boric Suppository into the</x:v>
      </x:c>
      <x:c r="I34" s="131" t="str">
        <x:v>Feminiva\Feminiva 600mg, 60sup (2 Bottles)\Mockup &amp; Label\Feminiva - Impressão.pdf</x:v>
      </x:c>
      <x:c r="J34" s="131" t="str">
        <x:v>Lote extraído de texto vetorial; confirmar visualmente antes de uso operacional.</x:v>
      </x:c>
    </x:row>
    <x:row r="35" ht="120" customHeight="1">
      <x:c r="A35" s="131" t="str">
        <x:v>Fenugreek</x:v>
      </x:c>
      <x:c r="B35" s="131" t="str">
        <x:v>Fenugreek</x:v>
      </x:c>
      <x:c r="C35" s="131" t="str">
        <x:v>2 Capsules</x:v>
      </x:c>
      <x:c r="D35" s="132" t="n">
        <x:v>75</x:v>
      </x:c>
      <x:c r="E35" s="131" t="str">
        <x:v>**(100:1 extract, equivalent to 6,000mg of raw
60mg (0.06g) *
6000 MG</x:v>
      </x:c>
      <x:c r="F35" s="131" t="str">
        <x:v>Serving Size: 2 Capsules
Servings Per Container: 75
Serving Size: 2 Capsules
Servings Per Container: 75
Dietary Supplement
NO
STARCH CORN EGGS LACTOSE GLUTEN 
WHEAT YEAST SOY ARTIFICIAL COLORS AND 
FLAVORS SUGAR PRESERVATIVES
•
• • •
• •
• •
•
NON-GMO
850054045201 - NEW FENUGREEK
THE COLOR OF THIS PRODUCT NATURALLY VARIES150 CAPS
Non-GMO
Non-GMO
Gluten-Free Gluten-Free
6000 MG
Traditional Herb
VEGAN
CAPSULES
*
+1 (917)908-1328
HEALTHFAREGROUP
HEALTHFARE</x:v>
      </x:c>
      <x:c r="G35" s="131" t="str">
        <x:v>ES: Rice Flour, Capsule (Hypromellose, Water),</x:v>
      </x:c>
      <x:c r="H35" s="131" t="str">
        <x:v>Take two (2) capsules daily, preferably</x:v>
      </x:c>
      <x:c r="I35" s="131" t="str">
        <x:v>Fenugreek\Mockup &amp; Label\Fenugreek - Impressão.pdf</x:v>
      </x:c>
      <x:c r="J35" s="131" t="str">
        <x:v>Conteúdo calculado como porção x porções por frasco.</x:v>
      </x:c>
    </x:row>
    <x:row r="36" ht="120" customHeight="1">
      <x:c r="A36" s="131" t="str">
        <x:v>Fo-Ti</x:v>
      </x:c>
      <x:c r="B36" s="131" t="str">
        <x:v>Fo-Ti</x:v>
      </x:c>
      <x:c r="C36" s="131" t="str">
        <x:v>1 Capsule</x:v>
      </x:c>
      <x:c r="D36" s="132" t="n">
        <x:v>200</x:v>
      </x:c>
      <x:c r="E36" s="131" t="str">
        <x:v>1000 MG 200 CAPS
Fo-Ti Extract 100mg (0.10g) *
** (10:1 extract, equivalent to 1,000mg of raw</x:v>
      </x:c>
      <x:c r="F36" s="131" t="str">
        <x:v>Serving Size: 1 Capsule
Servings Per Container: 200
Serving Size: 1 Capsule
Servings Per Container: 200
(Polygonum multi/f_lorum) (root)
** (10:1 extract, equivalent to 1,000mg of raw
 Fo-Ti) 
THE COLOR OF THIS PRODUCT NATURALLY VARIES
850031157545 - NEW FO-TI HE SHOU WU
VEGAN
CAPSULES</x:v>
      </x:c>
      <x:c r="G36" s="131" t="str">
        <x:v>ES: Rice Flour, Capsule (Hypromellose, Water),</x:v>
      </x:c>
      <x:c r="H36" s="131" t="str">
        <x:v>Take one (1) capsules daily, preferably</x:v>
      </x:c>
      <x:c r="I36" s="131" t="str">
        <x:v>Fo-Ti\Mockup &amp; Label\Fo-Ti - Impressão.ai</x:v>
      </x:c>
      <x:c r="J36" s="131" t="str">
        <x:v>Lote extraído de texto vetorial; confirmar visualmente antes de uso operacional.</x:v>
      </x:c>
    </x:row>
    <x:row r="37" ht="120" customHeight="1">
      <x:c r="A37" s="131" t="str">
        <x:v>Folic Acid 1000mcg</x:v>
      </x:c>
      <x:c r="B37" s="131" t="str">
        <x:v>Folic Acid</x:v>
      </x:c>
      <x:c r="C37" s="131" t="str">
        <x:v>1 Tablet</x:v>
      </x:c>
      <x:c r="D37" s="132" t="n">
        <x:v>300</x:v>
      </x:c>
      <x:c r="E37" s="131" t="str">
        <x:v>1,667 mcg DFE
1000mcg (1mg) 417%
850054045102- NEW FOLIC ACID 1000MCG</x:v>
      </x:c>
      <x:c r="F37" s="131" t="str">
        <x:v>Serving Size: 1 Tablet
Servings Per Container: 300
Serving Size: 1 Tablet
Servings Per Container: 300
Amount Per Serving % Daily Value*
* Daily Value not established
Folic Acid (Folate)
 1,667 mcg DFE 
1000mcg (1mg) 417%
NO
STARCH CORN EGGS LACTOSE GLUTEN 
WHEAT YEAST SOY ARTIFICIAL COLORS AND 
FLAVORS SUGAR PRESERVATIVES
•
• • •
• •
• •
•
NON-GMO
STORE THIS PRODUCT IN A COOL AND DRY PLACE
* These statements have not been evaluated by the Food and Drug 
Administration. This product is not intended to diagnose, treat, cure, 
or prevent any disease.
PRODUCED AND QUALITY TESTED IN THE 
USA USING GLOBALLY SOURCED INGREDIENTS.
Dietary Supplement
Non-GMO
Non-GMO
Gluten-Free Gluten-Free
300 TABLETS1000 MCG
FOLIC ACID
PRENATAL HEALTH
VEGAN
TABLETS
850054045102- NEW FOLIC ACID 1000MCG
BEST BY: 06/2029 | BATCH NO: BR-2026-0214
+1 (917)908-1328
HEALTHFAREGROUP
HEALTHFARE</x:v>
      </x:c>
      <x:c r="G37" s="131" t="str">
        <x:v>Microcrystalline Cellulose, Dicalcium Phosphate,</x:v>
      </x:c>
      <x:c r="H37" s="131" t="str">
        <x:v>Take one (1) tablet daily, preferably</x:v>
      </x:c>
      <x:c r="I37" s="131" t="str">
        <x:v>Folic Acid\Folic Acid 1000mcg\Mockup &amp; Label\Folic Acid 1000mcg - Impressão.pdf</x:v>
      </x:c>
      <x:c r="J37" s="131" t="str"/>
    </x:row>
    <x:row r="38" ht="120" customHeight="1">
      <x:c r="A38" s="131" t="str">
        <x:v>Folic Acid 400mcg</x:v>
      </x:c>
      <x:c r="B38" s="131" t="str">
        <x:v>Folic Acid</x:v>
      </x:c>
      <x:c r="C38" s="131" t="str">
        <x:v>1 Tablet</x:v>
      </x:c>
      <x:c r="D38" s="132" t="n">
        <x:v>300</x:v>
      </x:c>
      <x:c r="E38" s="131" t="str">
        <x:v>665 mcg DFE
400mcg 167%
850054045119 - NEW FOLIC ACID 400MCG</x:v>
      </x:c>
      <x:c r="F38" s="131" t="str">
        <x:v>Serving Size: 1 Tablet
Servings Per Container: 300
Serving Size: 1 Tablet
Servings Per Container: 300
Amount Per Serving % Daily Value*
* Daily Value not established
Folic Acid (Folate)
 665 mcg DFE 
400mcg 167%
NO
STARCH CORN EGGS LACTOSE GLUTEN 
WHEAT YEAST SOY ARTIFICIAL COLORS AND 
FLAVORS SUGAR PRESERVATIVES
•
• • •
• •
• •
•
NON-GMO
STORE THIS PRODUCT IN A COOL AND DRY PLACE
* These statements have not been evaluated by the Food and Drug 
Administration. This product is not intended to diagnose, treat, cure, 
or prevent any disease.
PRODUCED AND QUALITY TESTED IN THE 
USA USING GLOBALLY SOURCED INGREDIENTS.
Dietary Supplement
Non-GMO
Non-GMO
Gluten-Free Gluten-Free
300 TABLETS400 MCG
FOLIC ACID
PRENATAL HEALTH
VEGAN
TABLETS
850054045119 - NEW FOLIC ACID 400MCG
BEST BY: 07/2029 | BATCH NO: BR-2026-0213
+1 (917)908-1328
HEALTHFAREGROUP
HEALTHFARE</x:v>
      </x:c>
      <x:c r="G38" s="131" t="str">
        <x:v>Microcrystalline Cellulose, Dicalcium Phosphate,</x:v>
      </x:c>
      <x:c r="H38" s="131" t="str">
        <x:v>Take one (1) tablet daily, preferably</x:v>
      </x:c>
      <x:c r="I38" s="131" t="str">
        <x:v>Folic Acid\Folic Acid 400mcg\Mockup &amp; Label\Folic Acid 400mcg - Impressão.pdf</x:v>
      </x:c>
      <x:c r="J38" s="131" t="str"/>
    </x:row>
    <x:row r="39" ht="120" customHeight="1">
      <x:c r="A39" s="131" t="str">
        <x:v>French Maritime Pine Bark</x:v>
      </x:c>
      <x:c r="B39" s="131" t="str">
        <x:v>French Maritime Pine Bark</x:v>
      </x:c>
      <x:c r="C39" s="131" t="str">
        <x:v>2 Capsules</x:v>
      </x:c>
      <x:c r="D39" s="132" t="n">
        <x:v>100</x:v>
      </x:c>
      <x:c r="E39" s="131" t="str">
        <x:v>(20:1 extract, equivalent to 6,000mg of raw
300mg (0.30g) *
6000 MG 200 CAPS</x:v>
      </x:c>
      <x:c r="F39" s="131" t="str">
        <x:v>Serving Size: 2 Capsules
Servings Per Container: 100
Serving Size: 2 Capsules
Servings Per Container: 100
**
6000 MG 200 CAPS
Non-GMO Gluten-FreePer Serving
Dietary Supplement Traditional Herb
NO
STARCH CORN EGGS LACTOSE GLUTEN 
WHEAT YEAST SOY ARTIFICIAL COLORS AND 
FLAVORS SUGAR PRESERVATIVES
•
• • •
• •
• •
•
NON-GMO
THE COLOR OF THIS PRODUCT NATURALLY VARIES
850031157347 - NEW PINE BARK
VEGAN
CAPSULES</x:v>
      </x:c>
      <x:c r="G39" s="131" t="str">
        <x:v>ES: Rice Flour, Capsule (Hypromellose, Water),</x:v>
      </x:c>
      <x:c r="H39" s="131" t="str">
        <x:v>Take two (2) capsules daily, preferably</x:v>
      </x:c>
      <x:c r="I39" s="131" t="str">
        <x:v>French Maritime Pine Bark\Mockup &amp; Label\Pine Bark - Impressão.pdf</x:v>
      </x:c>
      <x:c r="J39" s="131" t="str"/>
    </x:row>
    <x:row r="40" ht="120" customHeight="1">
      <x:c r="A40" s="131" t="str">
        <x:v>Ginger Root</x:v>
      </x:c>
      <x:c r="B40" s="131" t="str">
        <x:v>Ginger Root</x:v>
      </x:c>
      <x:c r="C40" s="131" t="str">
        <x:v>2 Capsules</x:v>
      </x:c>
      <x:c r="D40" s="132" t="n">
        <x:v>100</x:v>
      </x:c>
      <x:c r="E40" s="131" t="str">
        <x:v>(4:1 extract, equivalent to 4,000mg of raw
Ginger Root Extract 1.000mg (1g) *
4000 MG 200 CAPS</x:v>
      </x:c>
      <x:c r="F40" s="131" t="str">
        <x:v>Serving Size: 2 Capsules
Servings Per Container: 100
**
Traditional HerbDietary Supplement
NO
STARCH CORN EGGS LACTOSE GLUTEN 
WHEAT YEAST SOY ARTIFICIAL COLORS AND 
FLAVORS SUGAR PRESERVATIVES
•
• • •
• •
• •
•
NON-GMO
Non-GMO Gluten-Free
4000 MG 200 CAPS
THE COLOR OF THIS PRODUCT NATURALLY VARIES
VEGAN
CAPSULES
850031157231 - NEW GINGER ROOT
+1 (917)908-1328
HEALTHFAREGROUP
HEALTHFARE</x:v>
      </x:c>
      <x:c r="G40" s="131" t="str">
        <x:v>ES: Rice Flour, Capsule (Hypromellose, Water),</x:v>
      </x:c>
      <x:c r="H40" s="131" t="str">
        <x:v>Take two (2) capsules daily with at</x:v>
      </x:c>
      <x:c r="I40" s="131" t="str">
        <x:v>Ginger Root\Mockup &amp; Label\Ginger Root - Impressão.pdf</x:v>
      </x:c>
      <x:c r="J40" s="131" t="str"/>
    </x:row>
    <x:row r="41" ht="120" customHeight="1">
      <x:c r="A41" s="131" t="str">
        <x:v>Ginkgo Biloba</x:v>
      </x:c>
      <x:c r="B41" s="131" t="str">
        <x:v>Ginkgo Biloba</x:v>
      </x:c>
      <x:c r="C41" s="131" t="str">
        <x:v>1 Capsule</x:v>
      </x:c>
      <x:c r="D41" s="132" t="n">
        <x:v>200</x:v>
      </x:c>
      <x:c r="E41" s="131" t="str">
        <x:v>75mg (0.07g) *
** (100:1 extract, equivalent to 7,500mg of raw
7500 MG</x:v>
      </x:c>
      <x:c r="F41" s="131" t="str">
        <x:v>Serving Size: 1 Capsule
Servings Per Container: 200
Serving Size: 1 Capsule
Servings Per Container: 200
** (100:1 extract, equivalent to 7,500mg of raw
 Ginkgo Biloba)
Dietary Supplement
NO
STARCH CORN EGGS LACTOSE GLUTEN 
WHEAT YEAST SOY ARTIFICIAL COLORS AND 
FLAVORS SUGAR PRESERVATIVES
•
• • •
• •
• •
•
NON-GMO
850054045133 - NEW GINKGO BILOBA
THE COLOR OF THIS PRODUCT NATURALLY VARIES
200 CAPS
Non-GMO
Non-GMO
Gluten-Free Gluten-Free
7500 MG
Ginkgo
BILOBA
Traditional Herb
VEGAN
CAPSULES
+1 (917)908-1328
HEALTHFAREGROUP
HEALTHFARE</x:v>
      </x:c>
      <x:c r="G41" s="131" t="str">
        <x:v>ES: Rice Flour, Capsule (Hypromellose, Water),</x:v>
      </x:c>
      <x:c r="H41" s="131" t="str">
        <x:v>Take one (1) capsule daily,</x:v>
      </x:c>
      <x:c r="I41" s="131" t="str">
        <x:v>Ginkgo Biloba\Mockup &amp; Label\Ginkgo Biloba - Impressão.pdf</x:v>
      </x:c>
      <x:c r="J41" s="131" t="str"/>
    </x:row>
    <x:row r="42" ht="120" customHeight="1">
      <x:c r="A42" s="131" t="str">
        <x:v>Glutathione - Reduced Form - 1000mg - 150caps</x:v>
      </x:c>
      <x:c r="B42" s="131" t="str">
        <x:v>Glutathione</x:v>
      </x:c>
      <x:c r="C42" s="131" t="str">
        <x:v>3 Capsules</x:v>
      </x:c>
      <x:c r="D42" s="132" t="n">
        <x:v>50</x:v>
      </x:c>
      <x:c r="E42" s="131" t="str">
        <x:v>1,000 mg(1g)
500 mg 556%
1000 MG</x:v>
      </x:c>
      <x:c r="F42" s="131" t="str">
        <x:v>Serving Size: 3 Capsules
Servings Per Container: 50
Serving Size: 3 Capsules
Servings Per Container: 50
Ascorbic Acid
 (Vitamin C)
500 mg 556%
*
Dietary Supplement
REDUCED FORM
NO
STARCH CORN EGGS LACTOSE GLUTEN 
WHEAT YEAST SOY ARTIFICIAL COLORS AND 
FLAVORS SUGAR PRESERVATIVES
•
• • •
• •
• •
•
NON-GMO
850054045126 - NEW GLUTATHIONE
150 CAPS
Non-GMO
Non-GMO
Gluten-Free Gluten-Free
1000 MG
Per Serving
Per Serving
VEGAN
CAPSULES
+1 (917)908-1328
HEALTHFAREGROUP
HEALTHFARE</x:v>
      </x:c>
      <x:c r="G42" s="131" t="str">
        <x:v>ES: Rice Flour, Capsule (Hypromellose, Water),</x:v>
      </x:c>
      <x:c r="H42" s="131" t="str">
        <x:v>Take three (3) capsules daily, preferably</x:v>
      </x:c>
      <x:c r="I42" s="131" t="str">
        <x:v>Glutathione\Glutathione - Reduced Form - 1000mg - 150caps\Mockup &amp; Label\Glutathione - Impressão.pdf</x:v>
      </x:c>
      <x:c r="J42" s="131" t="str"/>
    </x:row>
    <x:row r="43" ht="120" customHeight="1">
      <x:c r="A43" s="131" t="str">
        <x:v>Graviola 5000mg, 200caps</x:v>
      </x:c>
      <x:c r="B43" s="131" t="str">
        <x:v>Graviola</x:v>
      </x:c>
      <x:c r="C43" s="131" t="str">
        <x:v>1 Capsule</x:v>
      </x:c>
      <x:c r="D43" s="132" t="n">
        <x:v>200</x:v>
      </x:c>
      <x:c r="E43" s="131" t="str">
        <x:v>Graviola Leaf Extract 250mg (0.25g) *
** (10:1 extract, equivalent to 2,500mg of Graviola Leaf)
Graviola Fruit Extract 250mg (0.25g) *
** (10:1 extract, equivalent to 2,500mg of Graviola Fruit)
5000 MG</x:v>
      </x:c>
      <x:c r="F43" s="131" t="str">
        <x:v>Serving Size: 1 Capsule
Servings Per Container: 200
Serving Size: 1 Capsule
Servings Per Container: 200
(Annona Muricata) (Leaf)
** (10:1 extract, equivalent to 2,500mg of Graviola Leaf)
Graviola Fruit Extract 250mg (0.25g) *
(Annona Muricata) (Fruit)
** (10:1 extract, equivalent to 2,500mg of Graviola Fruit)
200 CAPS
Non-GMO Gluten-Free
5000 MG
graviola
SOURSOP
NO
STARCH CORN EGGS LACTOSE GLUTEN 
WHEAT YEAST SOY ARTIFICIAL COLORS AND 
FLAVORS SUGAR PRESERVATIVES
•
• • •
• •
• •
•
NON-GMO
850031157316 - NEW GRAVIOLA 
+1 (917)908-1328
HEALTHFAREGROUP
HEALTHFARE</x:v>
      </x:c>
      <x:c r="G43" s="131" t="str">
        <x:v>ES: Rice Flour, Capsule (Hypromellose, Water),</x:v>
      </x:c>
      <x:c r="H43" s="131" t="str">
        <x:v>Take one (1) capsule daily, preferably</x:v>
      </x:c>
      <x:c r="I43" s="131" t="str">
        <x:v>Graviola\Graviola 5000mg, 200caps\Mockup &amp; Label\Graviola - Impressão.pdf</x:v>
      </x:c>
      <x:c r="J43" s="131" t="str"/>
    </x:row>
    <x:row r="44" ht="120" customHeight="1">
      <x:c r="A44" s="131" t="str">
        <x:v>Graviola C2 5000mg, 400caps (2Bottles)</x:v>
      </x:c>
      <x:c r="B44" s="131" t="str">
        <x:v>Graviola</x:v>
      </x:c>
      <x:c r="C44" s="131" t="str">
        <x:v>1 Capsule</x:v>
      </x:c>
      <x:c r="D44" s="132" t="n">
        <x:v>200</x:v>
      </x:c>
      <x:c r="E44" s="131" t="str">
        <x:v>Graviola Leaf Extract 250mg (0.25g) *
** (10:1 extract, equivalent to 2,500mg of Graviola Leaf)
Graviola Fruit Extract 250mg (0.25g) *
** (10:1 extract, equivalent to 2,500mg of Graviola Fruit)
5000 MG</x:v>
      </x:c>
      <x:c r="F44" s="131" t="str">
        <x:v>Serving Size: 1 Capsule
Servings Per Container: 200
Serving Size: 1 Capsule
Servings Per Container: 200
(Annona Muricata) (Leaf)
** (10:1 extract, equivalent to 2,500mg of Graviola Leaf)
Graviola Fruit Extract 250mg (0.25g) *
(Annona Muricata) (Fruit)
** (10:1 extract, equivalent to 2,500mg of Graviola Fruit)
200 CAPS
Non-GMO Gluten-Free
5000 MG
graviola
SOURSOP
NO
STARCH CORN EGGS LACTOSE GLUTEN 
WHEAT YEAST SOY ARTIFICIAL COLORS AND 
FLAVORS SUGAR PRESERVATIVES
•
• • •
• •
• •
•
NON-GMO
850031157316 - NEW GRAVIOLA 
+1 (917)908-1328
HEALTHFAREGROUP
HEALTHFARE</x:v>
      </x:c>
      <x:c r="G44" s="131" t="str">
        <x:v>ES: Rice Flour, Capsule (Hypromellose, Water),</x:v>
      </x:c>
      <x:c r="H44" s="131" t="str">
        <x:v>Take one (1) capsule daily, preferably</x:v>
      </x:c>
      <x:c r="I44" s="131" t="str">
        <x:v>Graviola\Graviola C2 5000mg, 400caps (2Bottles)\Mockup &amp; Label\Graviola - Impressão.pdf</x:v>
      </x:c>
      <x:c r="J44" s="131" t="str"/>
    </x:row>
    <x:row r="45" ht="120" customHeight="1">
      <x:c r="A45" s="131" t="str">
        <x:v>Green Tea</x:v>
      </x:c>
      <x:c r="B45" s="131" t="str">
        <x:v>Green Tea</x:v>
      </x:c>
      <x:c r="C45" s="131" t="str">
        <x:v>3 Capsules</x:v>
      </x:c>
      <x:c r="D45" s="132" t="n">
        <x:v>66</x:v>
      </x:c>
      <x:c r="E45" s="131" t="str">
        <x:v>2.100mg (2.1g) *
2100 MG 200 CAPS</x:v>
      </x:c>
      <x:c r="F45" s="131" t="str">
        <x:v>Serving Size: 3 Capsules
Servings Per Container: 66
Serving Size: 3 Capsules
Servings Per Container: 66green tea
STANDARDIZED EXTRACT
Dietary Supplement Traditional Herb
Non-GMO Gluten-Free
2100 MG 200 CAPS
Per Serving
PREMIUM EGCG
NO
STARCH CORN EGGS LACTOSE GLUTEN 
WHEAT YEAST SOY ARTIFICIAL COLORS AND 
FLAVORS SUGAR PRESERVATIVES
•
• • •
• •
• •
•
NON-GMO
◊
THE COLOR OF THIS PRODUCT NATURALLY VARIES
VEGAN
CAPSULES
850031157460 - NEW GREEN TEA
+1 (917)908-1328
HEALTHFAREGROUP
HEALTHFARE</x:v>
      </x:c>
      <x:c r="G45" s="131" t="str">
        <x:v>ES: Rice Flour, Capsule (Hypromellose, Water),</x:v>
      </x:c>
      <x:c r="H45" s="131" t="str">
        <x:v>Take three (3) capsules daily, preferably</x:v>
      </x:c>
      <x:c r="I45" s="131" t="str">
        <x:v>Green Tea\Mockup &amp; Label\Green Tea - Impressão.pdf</x:v>
      </x:c>
      <x:c r="J45" s="131" t="str"/>
    </x:row>
    <x:row r="46" ht="120" customHeight="1">
      <x:c r="A46" s="131" t="str">
        <x:v>Gymnema Sylvestre</x:v>
      </x:c>
      <x:c r="B46" s="131" t="str">
        <x:v>Gymnema Sylvestre</x:v>
      </x:c>
      <x:c r="C46" s="131" t="str">
        <x:v>2 Capsules</x:v>
      </x:c>
      <x:c r="D46" s="132" t="n">
        <x:v>100</x:v>
      </x:c>
      <x:c r="E46" s="131" t="str">
        <x:v>Gymnema Sylvestre Extract 160mg (0.16g) *
**(25:1 extract, equivalent to 4,000mg of raw
4000 MG</x:v>
      </x:c>
      <x:c r="F46" s="131" t="str">
        <x:v>Serving Size: 2 Capsules
Servings Per Container: 100
Serving Size: 2 Capsules
Servings Per Container: 100
(Gymnema Sylvestre) (Leaf)
**(25:1 extract, equivalent to 4,000mg of raw
 Gymnema Sylvestre)
NO
STARCH CORN EGGS LACTOSE GLUTEN 
WHEAT YEAST SOY ARTIFICIAL COLORS AND 
FLAVORS SUGAR PRESERVATIVES
•
• • •
• •
• •
•
NON-GMO
THE COLOR OF THIS PRODUCT NATURALLY VARIES
Traditional Herb
850054045270 - N EW GYMNE MA SYL VESTR E
VEGAN
C APS ULE S
+1 (917)908-1328
HEALTHFAREG ROUP
HEALTHFAR E
Manufac tured For:
 HealthFare
1500 W Cyp ress Creek
Fort Lauderdal e, FL 33309
www.healt hfaregroup. com GMPGOOD MANUFACTURING PRACTICE
C E R T I F I E D
PRODUCED AND QUALITY TESTED IN THE 
USA USING GLOBALLY SOURCED INGREDIENTS.
STORE THIS PRODUCT IN A COOL AND DRY PLACE
OTHER INGREDIENTES: Rice F lour, Capsule (Hyprome llose, Water), 
Magnesium Stearate (Vegetabl e Source).
THIRD PARTY TESTED*
200 CAPS
Non-GMO Gluten-Free
4000 MG
Per Serving</x:v>
      </x:c>
      <x:c r="G46" s="131" t="str">
        <x:v>ES: Rice F lour, Capsule (Hyprome llose, Water),</x:v>
      </x:c>
      <x:c r="H46" s="131" t="str">
        <x:v>Take two (2) capsules daily, preferably</x:v>
      </x:c>
      <x:c r="I46" s="131" t="str">
        <x:v>Gymnema Sylvestre\Mockup &amp; Label\Gymnema Sylvestre - Impressão.pdf</x:v>
      </x:c>
      <x:c r="J46" s="131" t="str">
        <x:v>Lote extraído de texto vetorial; confirmar visualmente antes de uso operacional.</x:v>
      </x:c>
    </x:row>
    <x:row r="47" ht="120" customHeight="1">
      <x:c r="A47" s="131" t="str">
        <x:v>Hawthorn</x:v>
      </x:c>
      <x:c r="B47" s="131" t="str">
        <x:v>Hawthorn</x:v>
      </x:c>
      <x:c r="C47" s="131" t="str">
        <x:v>2 Capsules</x:v>
      </x:c>
      <x:c r="D47" s="132" t="n">
        <x:v>100</x:v>
      </x:c>
      <x:c r="E47" s="131" t="str">
        <x:v>Hawthorn Complex 3.000mg (3g) *
(300mg 10:1; Equivalent to 3000mg of raw
3000 MG</x:v>
      </x:c>
      <x:c r="F47" s="131" t="str">
        <x:v>Serving Size: 2 Capsules
Servings Per Container: 100
Serving Size: 2 Capsules
Servings Per Container: 100
(Crataegus pinnati/f_ida) (Fruit)
(300mg 10:1; Equivalent to 3000mg of raw
Hawthorn Complex)
NO
STARCH CORN EGGS LACTOSE GLUTEN 
WHEAT YEAST SOY ARTIFICIAL COLORS AND 
FLAVORS SUGAR PRESERVATIVES
•
• • •
• •
• •
•
NON-GMO
THE COLOR OF THIS PRODUCT NATURALLY VARIES
Traditional Herb
850054045287 - NEW HAWTHORN COMPLEX
VEGAN
CAPSULES
+1 (917)908-1328
HEALTHFAREGROUP
HEALTHFARE</x:v>
      </x:c>
      <x:c r="G47" s="131" t="str">
        <x:v>ES: Rice Flour, Capsule (Hypromellose, Water),</x:v>
      </x:c>
      <x:c r="H47" s="131" t="str">
        <x:v>Take two (2) capsules daily, preferably</x:v>
      </x:c>
      <x:c r="I47" s="131" t="str">
        <x:v>Hawthorn\Mockup &amp; Label\Hawthorn - Impressão.pdf</x:v>
      </x:c>
      <x:c r="J47" s="131" t="str">
        <x:v>Lote extraído de texto vetorial; confirmar visualmente antes de uso operacional.</x:v>
      </x:c>
    </x:row>
    <x:row r="48" ht="120" customHeight="1">
      <x:c r="A48" s="131" t="str">
        <x:v>Hyaluronic Acid</x:v>
      </x:c>
      <x:c r="B48" s="131" t="str">
        <x:v>Hyaluronic Acid</x:v>
      </x:c>
      <x:c r="C48" s="131" t="str">
        <x:v>2 Capsules</x:v>
      </x:c>
      <x:c r="D48" s="132" t="n">
        <x:v>100</x:v>
      </x:c>
      <x:c r="E48" s="131" t="str">
        <x:v>Hyaluronic Acid 200mg (0.2g) *
200 MG 200 CAPS</x:v>
      </x:c>
      <x:c r="F48" s="131" t="str">
        <x:v>Serving Size: 2 Capsules
Servings Per Container: 100
SUGGESTED USE: Take two (2) capsules daily, 
preferably with a meal.
200 MG 200 CAPS
Per Serving Non-GMO Gluten-Free
CAUTION! Consult your doctor before use if you are 
pregnant, nursing, taking any medications, or have any 
medical conditions. If any adverse reactions occur, 
immediately stop using this product and consult your doctor. 
Do not use if seal under bottle cap is damaged or missing. 
Keep out of reach of children.
* These statements have not been evaluated by the Food 
and Drug Administration. This product is not intended to 
diagnose, treat, cure, or prevent any disease.
Dietary Supplement
VEGAN
CAPSULES
850054045515 - NEW HYALURONIC ACID
+1 (917)908-1328
HEALTHFAREGROUP
HEALTHFARE</x:v>
      </x:c>
      <x:c r="G48" s="131" t="str">
        <x:v>Rice Flour, Capsule (Hypromellose,</x:v>
      </x:c>
      <x:c r="H48" s="131" t="str">
        <x:v>Take two (2) capsules daily,</x:v>
      </x:c>
      <x:c r="I48" s="131" t="str">
        <x:v>Hyaluronic Acid\Mockup &amp; Label\Hyaluronic Acid - Impressão -.pdf</x:v>
      </x:c>
      <x:c r="J48" s="131" t="str"/>
    </x:row>
    <x:row r="49" ht="120" customHeight="1">
      <x:c r="A49" s="131" t="str">
        <x:v>Hyaluronic Acid With Vitamin C</x:v>
      </x:c>
      <x:c r="B49" s="131" t="str">
        <x:v>Hyaluronic Acid With Vitamin C</x:v>
      </x:c>
      <x:c r="C49" s="131" t="str">
        <x:v>2 Capsules</x:v>
      </x:c>
      <x:c r="D49" s="132" t="n">
        <x:v>105</x:v>
      </x:c>
      <x:c r="E49" s="131" t="str">
        <x:v>Hyaluronic Acid 225mg (0.22g) *
28%Vitamin C 25mg (0.02g)
250 MG 210 CAPS</x:v>
      </x:c>
      <x:c r="F49" s="131" t="str">
        <x:v>Serving Size: 2 Capsules
Servings Per Container: 105
SUGGES TED USE : Take two (2) capsules daily, 
preferably with a meal.
250 MG 210 CAPS
Per Serving Non-GMO Gluten-Free
CAUTION! Consult your doctor before use if you are 
pregnant, nursing, taking any medications, or have any 
medical conditions. If any adverse reactions occur, 
immediately stop using this product and consult your doctor. 
Do not use if seal under bottle cap is damaged or missing. 
Keep out of reach of children.
* These statements have not been evaluated by the Food 
and Drug Administration. This product is not intended to 
diagnose, treat, cure, or prevent any disease.
Dietary Supplement
ULTRA HIGH PURITY WITH VITAMIN C*
VEGAN
C A P SULES
850031157217 - N EW HYALURONIC ACI D
+1 (917)908-1328
HEALTHFAREG ROU P
HEALTHFAR E
Manufac tured For:
 Heal thFare
1500 W Cypress Creek
Fort Lauderdal e, FL 33309
www.h eal thf aregro up.c om
PRODUCED AND QUALITY TESTED IN THE 
USA USING GLOBALLY SOURCED INGREDIENTS.
GMPGOOD MANUFACTURING PRACTICE
C E R T I F I E D
STORE THIS PRODUCT IN A COOL AND DRY PLACE
NO
STARCH CORN EGGS LACTOSE GLUTEN 
WHEAT YEAST SOY ARTIFICIAL COLORS AND 
FLAVORS SUGAR PRESERVATIVES
•
• • •
• •
• •
•
NON-GMO
THIRD PARTY TESTED*</x:v>
      </x:c>
      <x:c r="G49" s="131" t="str">
        <x:v>Rice Flour, Capsule (Hypromellose,</x:v>
      </x:c>
      <x:c r="H49" s="131" t="str"/>
      <x:c r="I49" s="131" t="str">
        <x:v>Hyaluronic Acid With Vitamin C\Mockup &amp; Label\Hyaluronic Acid - Impressão.pdf</x:v>
      </x:c>
      <x:c r="J49" s="131" t="str"/>
    </x:row>
    <x:row r="50" ht="120" customHeight="1">
      <x:c r="A50" s="131" t="str">
        <x:v>L Carnitine</x:v>
      </x:c>
      <x:c r="B50" s="131" t="str">
        <x:v>L Carnitine</x:v>
      </x:c>
      <x:c r="C50" s="131" t="str">
        <x:v>3 Capsules</x:v>
      </x:c>
      <x:c r="D50" s="132" t="n">
        <x:v>40</x:v>
      </x:c>
      <x:c r="E50" s="131" t="str">
        <x:v>Acetyl L-Carnitine 1.500mg (1,5g) *
1500 MG</x:v>
      </x:c>
      <x:c r="F50" s="131" t="str">
        <x:v>Serving Size: 3 Capsules
Servings Per Container: 40
Serving Size: 3 Capsules
Servings Per Container: 40
l-carnitine
Dietary Supplement
1500 MG
Per Serving
120 CAPS
Non-GMO Gluten-Free
NO
STARCH CORN EGGS LACTOSE GLUTEN 
WHEAT YEAST SOY ARTIFICIAL COLORS AND 
FLAVORS SUGAR PRESERVATIVES
•
• • •
• •
• •
•
NON-GMO
850054045447 - NEW ACETYL-CARNITINE
VEGAN
CAPSULES
+1 (917)908-1328
HEALTHFAREGROUP
HEALTHFARE</x:v>
      </x:c>
      <x:c r="G50" s="131" t="str">
        <x:v>Rice Flour, Capsule (Hypromellose,</x:v>
      </x:c>
      <x:c r="H50" s="131" t="str">
        <x:v>Take Three (3) capsules daily, preferably</x:v>
      </x:c>
      <x:c r="I50" s="131" t="str">
        <x:v>L Carnitine\Mockup &amp; Label\L-Carnitine - Impressão.pdf</x:v>
      </x:c>
      <x:c r="J50" s="131" t="str"/>
    </x:row>
    <x:row r="51" ht="120" customHeight="1">
      <x:c r="A51" s="131" t="str">
        <x:v>L Theanine 400mg 150Capsules</x:v>
      </x:c>
      <x:c r="B51" s="131" t="str">
        <x:v>L Theanine 400mg 150Capsules</x:v>
      </x:c>
      <x:c r="C51" s="131" t="str">
        <x:v>2 Capsules</x:v>
      </x:c>
      <x:c r="D51" s="132" t="n">
        <x:v>75</x:v>
      </x:c>
      <x:c r="E51" s="131" t="str">
        <x:v>L-Theanine 400mg (0.4g) *
400 MG</x:v>
      </x:c>
      <x:c r="F51" s="131" t="str">
        <x:v>Serving Size: 2 Capsules
Servings Per Container: 75
Serving Size: 2 Capsules
Servings Per Container: 75
400 MG
Per Serving
150 CAPS
Non-GMO Gluten-Free
NO
STARCH CORN EGGS LACTOSE GLUTEN 
WHEAT YEAST SOY ARTIFICIAL COLORS AND 
FLAVORS SUGAR PRESERVATIVES
•
• • •
• •
• •
•
NON-GMO
850054045553 - NEW L-THEANINE
VEGAN
CAPSULES
+1 (917)908-1328
HEALTHFAREGROUP
HEALTHFARE</x:v>
      </x:c>
      <x:c r="G51" s="131" t="str">
        <x:v>Rice Flour, Capsule (Hypromellose,</x:v>
      </x:c>
      <x:c r="H51" s="131" t="str">
        <x:v>Take two (2) capsules daily, preferably</x:v>
      </x:c>
      <x:c r="I51" s="131" t="str">
        <x:v>L Theanine 400mg 150Capsules\Mockup &amp; Label\L Theanine - Impressão.pdf</x:v>
      </x:c>
      <x:c r="J51" s="131" t="str"/>
    </x:row>
    <x:row r="52" ht="120" customHeight="1">
      <x:c r="A52" s="131" t="str">
        <x:v>L-Glutamine</x:v>
      </x:c>
      <x:c r="B52" s="131" t="str">
        <x:v>L-Glutamine</x:v>
      </x:c>
      <x:c r="C52" s="131" t="str">
        <x:v>2 Vegetarian Capsules</x:v>
      </x:c>
      <x:c r="D52" s="132" t="n">
        <x:v>120</x:v>
      </x:c>
      <x:c r="E52" s="131" t="str">
        <x:v>Fermented L-Glutamine 1,000mg (1g) *</x:v>
      </x:c>
      <x:c r="F52" s="131" t="str">
        <x:v>Serving Size: 2 Vegetarian Capsules
Servings Per Container: 120
Serving Size: 2 Vegetarian Capsules
Servings Per Container: 120
Free Form Amino Acid
+1 (917)908-1328
HEALTHFAREGROUP
HEALTHFARE</x:v>
      </x:c>
      <x:c r="G52" s="131" t="str">
        <x:v>ES: Rice Flour, Capsule (Hypromellose, Water),</x:v>
      </x:c>
      <x:c r="H52" s="131" t="str">
        <x:v>Take two (2) capsules daily, preferably</x:v>
      </x:c>
      <x:c r="I52" s="131" t="str">
        <x:v>L-Glutamine\Mockup &amp; Label\L-Glutamine - Impressão.pdf</x:v>
      </x:c>
      <x:c r="J52" s="131" t="str"/>
    </x:row>
    <x:row r="53" ht="120" customHeight="1">
      <x:c r="A53" s="131" t="str">
        <x:v>Licorice Root</x:v>
      </x:c>
      <x:c r="B53" s="131" t="str">
        <x:v>Licorice Root</x:v>
      </x:c>
      <x:c r="C53" s="131" t="str">
        <x:v>2 Capsules</x:v>
      </x:c>
      <x:c r="D53" s="132" t="n">
        <x:v>100</x:v>
      </x:c>
      <x:c r="E53" s="131" t="str">
        <x:v>DGL Licorice extract 900mg (0.9g)*
(Equivalent to 900mg of raw Licorice Root)
900 MG</x:v>
      </x:c>
      <x:c r="F53" s="131" t="str">
        <x:v>Serving Size: 2 Capsules
Servings Per Container: 100
(Deglycyrrhizinated)(Glycyrrhiza spp.) (Root)
 (Equivalent to 900mg of raw Licorice Root)
Per Serving
Traditional Herb
LICORICE
R OOT
NO
STARCH CORN EGGS LACTOSE GLUTEN 
WHEAT YEAST SOY ARTIFICIAL COLORS AND 
FLAVORS SUGAR PRESERVATIVES
•
• • •
• •
• •
•
NON-GMO
VEGAN
CAPSULES
DGL
DEGLYCYRRHIZINATED
850031157255 - NEW LICORICE ROOT
900 MG
Per Serving Non-GMO Gluten-Free
200 CAPS
+1 (917)908-1328
HEALTHFAREGROUP
HEALTHFARE</x:v>
      </x:c>
      <x:c r="G53" s="131" t="str">
        <x:v>ES: Rice Flour, Capsule (Hypromellose, Water),</x:v>
      </x:c>
      <x:c r="H53" s="131" t="str">
        <x:v>Adults take two (2) capsules daily,</x:v>
      </x:c>
      <x:c r="I53" s="131" t="str">
        <x:v>Licorice Root\Mockup &amp; Label\Licorice Root - Impressão.pdf</x:v>
      </x:c>
      <x:c r="J53" s="131" t="str"/>
    </x:row>
    <x:row r="54" ht="120" customHeight="1">
      <x:c r="A54" s="131" t="str">
        <x:v>Lithium Orotate 130mg 200tablets</x:v>
      </x:c>
      <x:c r="B54" s="131" t="str">
        <x:v>Lithium Orotate</x:v>
      </x:c>
      <x:c r="C54" s="131" t="str">
        <x:v>1 Tablet</x:v>
      </x:c>
      <x:c r="D54" s="132" t="n">
        <x:v>200</x:v>
      </x:c>
      <x:c r="E54" s="131" t="str">
        <x:v>Lithium 5 mg *
(from 130mg of Lithium Orotate)</x:v>
      </x:c>
      <x:c r="F54" s="131" t="str">
        <x:v>Serving Size: 1 Tablet
Servings Per Container: 200
Serving Size: 1 Tablet
Servings Per Container: 200
(from 130mg of Lithium Orotate)
STORE THIS PRODUCT IN A COOL AND DRY PLACE
* These statements have not been evaluated by the Food and Drug 
Administration. This product is not intended to diagnose, treat, cure, 
or prevent any disease.h
Dietary Supplement
LITHIUM OROTATE
Mineral Support
+1 (917)908-1328
HEALTHFAREGROUP
HEALTHFARE</x:v>
      </x:c>
      <x:c r="G54" s="131" t="str">
        <x:v>Microcrystaline Cellulose, Dicalcium</x:v>
      </x:c>
      <x:c r="H54" s="131" t="str">
        <x:v>Take one (1) vegetarian tablet daily,</x:v>
      </x:c>
      <x:c r="I54" s="131" t="str">
        <x:v>Lithium Orotate\Lithium Orotate 130mg 200tablets\Mockup &amp; Label\Lithium Orotate 200tab - Impressão.pdf</x:v>
      </x:c>
      <x:c r="J54" s="131" t="str"/>
    </x:row>
    <x:row r="55" ht="120" customHeight="1">
      <x:c r="A55" s="131" t="str">
        <x:v>Lithium Orotate 130mg 60tablets</x:v>
      </x:c>
      <x:c r="B55" s="131" t="str">
        <x:v>Lithium Orotate</x:v>
      </x:c>
      <x:c r="C55" s="131" t="str">
        <x:v>2 Tablets</x:v>
      </x:c>
      <x:c r="D55" s="132" t="n">
        <x:v>30</x:v>
      </x:c>
      <x:c r="E55" s="131" t="str">
        <x:v>Lithium 5 mg *
(from 130mg of Lithium Orotate)</x:v>
      </x:c>
      <x:c r="F55" s="131" t="str">
        <x:v>Serving Size: 2 Tablets
Servings Per Container: 30
Serving Size: 2 Tablets
Servings Per Container: 30
(from 130mg of Lithium Orotate)
STORE THIS PRODUCT IN A COOL AND DRY PLACE
* These statements have not been evaluated by the Food and Drug 
Administration. This product is not intended to diagnose, treat, cure, 
or prevent any disease.h
Dietary Supplement
LITHIUM OROTATE
Mineral Support
+1 (917)908-1328
HEALTHFAREGROUP
HEALTHFARE</x:v>
      </x:c>
      <x:c r="G55" s="131" t="str">
        <x:v>Microcrystaline Cellulose, Dicalcium</x:v>
      </x:c>
      <x:c r="H55" s="131" t="str">
        <x:v>Take two (2) vegetarian tablets daily,</x:v>
      </x:c>
      <x:c r="I55" s="131" t="str">
        <x:v>Lithium Orotate\Lithium Orotate 130mg 60tablets\Mockup &amp; Label\Lithium Orotate 130mg 60 Tabs - Impressão.pdf</x:v>
      </x:c>
      <x:c r="J55" s="131" t="str"/>
    </x:row>
    <x:row r="56" ht="120" customHeight="1">
      <x:c r="A56" s="131" t="str">
        <x:v>Lithium Orotate 5mg 200tablets</x:v>
      </x:c>
      <x:c r="B56" s="131" t="str">
        <x:v>Lithium Orotate</x:v>
      </x:c>
      <x:c r="C56" s="131" t="str">
        <x:v>1 Tablet</x:v>
      </x:c>
      <x:c r="D56" s="132" t="n">
        <x:v>200</x:v>
      </x:c>
      <x:c r="E56" s="131" t="str">
        <x:v>Lithium 5 mg *
(from 130mg of Lithium Orotate)</x:v>
      </x:c>
      <x:c r="F56" s="131" t="str">
        <x:v>Serving Size: 1 Tablet
Servings Per Container: 200
Serving Size: 1 Tablet
Servings Per Container: 200
(from 130mg of Lithium Orotate)
STORE THIS PRODUCT IN A COOL AND DRY PLACE
* These statements have not been evaluated by the Food and Drug 
Administration. This product is not intended to diagnose, treat, cure, 
or prevent any disease.h
Dietary Supplement
LITHIUM OROTATE
Mineral Support
+1 (917)908-1328
HEALTHFAREGROUP
HEALTHFARE</x:v>
      </x:c>
      <x:c r="G56" s="131" t="str">
        <x:v>Microcrystaline Cellulose, Dicalcium</x:v>
      </x:c>
      <x:c r="H56" s="131" t="str">
        <x:v>Take one (1) vegetarian tablet daily,</x:v>
      </x:c>
      <x:c r="I56" s="131" t="str">
        <x:v>Lithium Orotate\Lithium Orotate 5mg 200tablets\Mockup &amp; Label\Lithium Orotate 200tab - Impressão.pdf</x:v>
      </x:c>
      <x:c r="J56" s="131" t="str"/>
    </x:row>
    <x:row r="57" ht="120" customHeight="1">
      <x:c r="A57" s="131" t="str">
        <x:v>Magnesium Citrate</x:v>
      </x:c>
      <x:c r="B57" s="131" t="str">
        <x:v>Magnesium Citrate</x:v>
      </x:c>
      <x:c r="C57" s="131" t="str">
        <x:v>1 Capsule</x:v>
      </x:c>
      <x:c r="D57" s="132" t="n">
        <x:v>90</x:v>
      </x:c>
      <x:c r="E57" s="131" t="str">
        <x:v>Magnesium Citrate 500mg *</x:v>
      </x:c>
      <x:c r="F57" s="131" t="str">
        <x:v>Serving Size: 1 Capsule
Servings Per Container: 90
Serving Size: 1 Capsule
Servings Per Container: 90
Amount Per Serving % Daily Value*
* Daily Value not established
Magnesium Citrate 500mg *
NO
STARCH CORN EGGS LACTOSE GLUTEN 
WHEAT YEAST SOY ARTIFICIAL COLORS AND 
FLAVORS SUGAR PRESERVATIVES
•
• • •
• •
• •
•
NON-GMO
STORE THIS PRODUCT IN A COOL AND DRY PLACE</x:v>
      </x:c>
      <x:c r="G57" s="131" t="str">
        <x:v>Rice Flour, Capsule (Hypromellose,</x:v>
      </x:c>
      <x:c r="H57" s="131" t="str">
        <x:v>Take one (1) capsule daily,</x:v>
      </x:c>
      <x:c r="I57" s="131" t="str">
        <x:v>Magnesium Citrate\Mockup &amp; Label\Magnesium Citrate -Impressão.pdf</x:v>
      </x:c>
      <x:c r="J57" s="131" t="str"/>
    </x:row>
    <x:row r="58" ht="120" customHeight="1">
      <x:c r="A58" s="131" t="str">
        <x:v>Magnesium Glycinate</x:v>
      </x:c>
      <x:c r="B58" s="131" t="str">
        <x:v>Magnesium Glycinate</x:v>
      </x:c>
      <x:c r="C58" s="131" t="str">
        <x:v>2 Capsules</x:v>
      </x:c>
      <x:c r="D58" s="132" t="n">
        <x:v>120</x:v>
      </x:c>
      <x:c r="E58" s="131" t="str">
        <x:v>Magnesium (as magnesium glycinate) 70mg 17%
Magnesium Glycinate 500mg *
500 MG</x:v>
      </x:c>
      <x:c r="F58" s="131" t="str">
        <x:v>Serving Size: 2 Capsules
Servings Per Container: 120
Magnesium Glycinate 500mg *
NO
STARCH CORN EGGS LACTOSE GLUTEN 
WHEAT YEAST SOY ARTIFICIAL COLORS AND 
FLAVORS SUGAR PRESERVATIVES
•
• • •
• •
• •
•
NON-GMO
BEST BY: 02/2029 | BATCH NO: BR-2026-0248
850054045317 - NEW MAGNESIUM GLYCINATE
VEGAN
CAPSULES
500 MG
Per Serving
240 CAPS
Non-GMO Gluten-Free
+1 (917)908-1328
HEALTHFAREGROUP
HEALTHFARE</x:v>
      </x:c>
      <x:c r="G58" s="131" t="str">
        <x:v>Rice Flour, Capsule (Hypromellose,</x:v>
      </x:c>
      <x:c r="H58" s="131" t="str">
        <x:v>Adults take two (2) capsules, per day</x:v>
      </x:c>
      <x:c r="I58" s="131" t="str">
        <x:v>Magnesium Glycinate\Mockup &amp; Label\Magnesium Glycinate - Impressão.pdf</x:v>
      </x:c>
      <x:c r="J58" s="131" t="str"/>
    </x:row>
    <x:row r="59" ht="120" customHeight="1">
      <x:c r="A59" s="131" t="str">
        <x:v>Magnesium Oxide</x:v>
      </x:c>
      <x:c r="B59" s="131" t="str">
        <x:v>Magnesium Oxide</x:v>
      </x:c>
      <x:c r="C59" s="131" t="str">
        <x:v>2 Capsules</x:v>
      </x:c>
      <x:c r="D59" s="132" t="n">
        <x:v>120</x:v>
      </x:c>
      <x:c r="E59" s="131" t="str">
        <x:v>Magnesium (as Magnesium Oxide) 300mg 71%
Magnesium Oxide 500mg *
500 MG</x:v>
      </x:c>
      <x:c r="F59" s="131" t="str">
        <x:v>Serving Size: 2 Capsules
Servings Per Container: 120
Magnesium Oxide 500mg *
NO
STARCH CORN EGGS LACTOSE GLUTEN 
WHEAT YEAST SOY ARTIFICIAL COLORS AND 
FLAVORS SUGAR PRESERVATIVES
•
• • •
• •
• •
•
NON-GMO
BEST BY: 02/2029 | BATCH NO: BR-2026-0265
850054045348 - NEW MAGNESIUM OXIDE
VEGAN
CAPSULES
500 MG
Per Serving
240 CAPS
Non-GMO Gluten-Free
+1 (917)908-1328
HEALTHFAREGROUP
HEALTHFARE</x:v>
      </x:c>
      <x:c r="G59" s="131" t="str">
        <x:v>Rice Flour, Capsule (Hypromellose,</x:v>
      </x:c>
      <x:c r="H59" s="131" t="str">
        <x:v>Take two (2) capsules daily, preferably</x:v>
      </x:c>
      <x:c r="I59" s="131" t="str">
        <x:v>Magnesium Oxide\Mockup &amp; Label\Magnesium Oxide - Impressão.pdf</x:v>
      </x:c>
      <x:c r="J59" s="131" t="str"/>
    </x:row>
    <x:row r="60" ht="120" customHeight="1">
      <x:c r="A60" s="131" t="str">
        <x:v>Melatonin 10mg 300Tablets Berryflavor</x:v>
      </x:c>
      <x:c r="B60" s="131" t="str">
        <x:v>Melatonin</x:v>
      </x:c>
      <x:c r="C60" s="131" t="str">
        <x:v>2 Tablets</x:v>
      </x:c>
      <x:c r="D60" s="132" t="n">
        <x:v>150</x:v>
      </x:c>
      <x:c r="E60" s="131" t="str">
        <x:v>Melatonin 10mg *
10 MG 300 TABS</x:v>
      </x:c>
      <x:c r="F60" s="131" t="str">
        <x:v>Serving Size: 2 Tablets
Servings Per Container: 150
Serving Size: 2 Tablets
Servings Per Container: 150
Amount Per Serving % Daily Value*
Melatonin 10mg *
* Daily Value not established
NO
STARCH CORN EGGS LACTOSE GLUTEN 
WHEAT YEAST SOY ARTIFICIAL COLORS AND 
FLAVORS SUGAR PRESERVATIVES
•
• • •
• •
• •
•
NON-GMO
BEST BY: 02/2029 | BATCH NO: 2034-9015600
X004YFHSPD - NEW MELATONIN FLAVOR
* These statements have not been evaluated by the Food and Drug 
Administration. This product is not intended to diagnose, treat, cure, 
or prevent any disease.
PRODUCED AND QUALITY TESTED IN THE 
USA USING GLOBALLY SOURCED INGREDIENTS.
GMPGOOD MANUFACTURING PRACTICE
CE R T I F I E D
STORE THIS PRODUCT IN A COOL AND DRY PLACE
THIRD PARTY TESTED*
Berry Flavor
FAST DISSOLVE
10 MG 300 TABS
Non-GMO Gluten-Free
VEGAN
TABLETS
SUPPORT SLEEP*
MELATONIN
Chewable Tablets
+1 (917)908-1328
HEALTHFAREGROUP
HEALTHFARE</x:v>
      </x:c>
      <x:c r="G60" s="131" t="str">
        <x:v>Mannitol, Microcrystalline Cellulose,</x:v>
      </x:c>
      <x:c r="H60" s="131" t="str">
        <x:v>Adults should consume two (2) fast-dissolving</x:v>
      </x:c>
      <x:c r="I60" s="131" t="str">
        <x:v>Melatonin\Melatonin 10mg 300Tablets Berryflavor\Mockup &amp; Label\Melatonin 10mg tablet - Impressão.pdf</x:v>
      </x:c>
      <x:c r="J60" s="131" t="str">
        <x:v>Lote extraído de texto vetorial; confirmar visualmente antes de uso operacional.</x:v>
      </x:c>
    </x:row>
    <x:row r="61" ht="120" customHeight="1">
      <x:c r="A61" s="131" t="str">
        <x:v>Melatonin 5mg 300Tablets Berryflavor</x:v>
      </x:c>
      <x:c r="B61" s="131" t="str">
        <x:v>Melatonin</x:v>
      </x:c>
      <x:c r="C61" s="131" t="str">
        <x:v>2 Tablets</x:v>
      </x:c>
      <x:c r="D61" s="132" t="n">
        <x:v>150</x:v>
      </x:c>
      <x:c r="E61" s="131" t="str">
        <x:v>Melatonin 5mg *
5 MG 300 TABS</x:v>
      </x:c>
      <x:c r="F61" s="131" t="str">
        <x:v>Serving Size: 2 Tablets
Servings Per Container: 150
Serving Size: 2 Tablets
Servings Per Container: 150
Amount Per Serving % Daily Value*
Melatonin 5mg *
* Daily Value not established
NO
STARCH CORN EGGS LACTOSE GLUTEN 
WHEAT YEAST SOY ARTIFICIAL COLORS AND 
FLAVORS SUGAR PRESERVATIVES
•
• • •
• •
• •
•
NON-GMO
X003RG9F1Z - NEW MELATONIN
* These statements have not been evaluated by the Food and Drug 
Administration. This product is not intended to diagnose, treat, cure, 
or prevent any disease.
PRODUCED AND QUALITY TESTED IN THE 
USA USING GLOBALLY SOURCED INGREDIENTS.
GMPGOOD MANUFACTURING PRACTICE
CE R T I F I E D
STORE THIS PRODUCT IN A COOL AND DRY PLACE
THIRD PARTY TESTED*
Berry Flavor
FAST DISSOLVE
5 MG 300 TABS
Non-GMO Gluten-Free
VEGAN
TABLETS
SUPPORT SLEEP*
MELATONIN
Chewable Tablets
+1 (917)908-1328
HEALTHFAREGROUP
HEALTHFARE</x:v>
      </x:c>
      <x:c r="G61" s="131" t="str">
        <x:v>Mannitol, Microcrystalline Cellulose,</x:v>
      </x:c>
      <x:c r="H61" s="131" t="str">
        <x:v>Adults should consume two (2) fast-dissolving</x:v>
      </x:c>
      <x:c r="I61" s="131" t="str">
        <x:v>Melatonin\Melatonin 5mg 300Tablets Berryflavor\Mockup &amp; Label\Melatonin 5mg tablet - Padrão.pdf</x:v>
      </x:c>
      <x:c r="J61" s="131" t="str">
        <x:v>Lote extraído de texto vetorial; confirmar visualmente antes de uso operacional.</x:v>
      </x:c>
    </x:row>
    <x:row r="62" ht="120" customHeight="1">
      <x:c r="A62" s="131" t="str">
        <x:v>Melatonin 60mg 90Capsules</x:v>
      </x:c>
      <x:c r="B62" s="131" t="str">
        <x:v>Melatonin</x:v>
      </x:c>
      <x:c r="C62" s="131" t="str">
        <x:v>1 Capsule</x:v>
      </x:c>
      <x:c r="D62" s="132" t="n">
        <x:v>90</x:v>
      </x:c>
      <x:c r="E62" s="131" t="str">
        <x:v>Melatonin 60mg *</x:v>
      </x:c>
      <x:c r="F62" s="131" t="str">
        <x:v>Serving Size: 1 Capsule
Servings Per Container: 90
Serving Size: 1 Capsule
Servings Per Container: 90
Amount Per Serving % Daily Value*
Melatonin 60mg *
* Daily Value not established
NO
STARCH CORN EGGS LACTOSE GLUTEN 
WHEAT YEAST SOY ARTIFICIAL COLORS AND 
FLAVORS SUGAR PRESERVATIVES
•
• • •
• •
• •
•
NON-GMO
BEST BY: 02/2029 | BATCH NO: BR-2026-0298Dietary Supplement
FAST ABSORPTION
HIGH DOSE
850031157583 - NEW MELATONIN
* These statements have not been evaluated by the Food and Drug 
Administration. This product is not intended to diagnose, treat, cure, 
or prevent any disease. MELATONIN
+1 (917)908-1328
HEALTHFAREGROUP
HEALTHFARE</x:v>
      </x:c>
      <x:c r="G62" s="131" t="str">
        <x:v>Rice Flour, Capsule (Hypromellose,</x:v>
      </x:c>
      <x:c r="H62" s="131" t="str">
        <x:v>Adults should take one (1) capsule 30</x:v>
      </x:c>
      <x:c r="I62" s="131" t="str">
        <x:v>Melatonin\Melatonin 60mg 90Capsules\Mockup &amp; Label\Melatonin 60 - Impressão.pdf</x:v>
      </x:c>
      <x:c r="J62" s="131" t="str">
        <x:v>Lote extraído de texto vetorial; confirmar visualmente antes de uso operacional.</x:v>
      </x:c>
    </x:row>
    <x:row r="63" ht="120" customHeight="1">
      <x:c r="A63" s="131" t="str">
        <x:v>Melatonin 60mg C2 180capsules (2 Bottles)</x:v>
      </x:c>
      <x:c r="B63" s="131" t="str">
        <x:v>Melatonin</x:v>
      </x:c>
      <x:c r="C63" s="131" t="str">
        <x:v>1 Capsule</x:v>
      </x:c>
      <x:c r="D63" s="132" t="n">
        <x:v>90</x:v>
      </x:c>
      <x:c r="E63" s="131" t="str">
        <x:v>Melatonin 60mg *</x:v>
      </x:c>
      <x:c r="F63" s="131" t="str">
        <x:v>Serving Size: 1 Capsule
Servings Per Container: 90
Serving Size: 1 Capsule
Servings Per Container: 90
Amount Per Serving % Daily Value*
Melatonin 60mg *
* Daily Value not established
NO
STARCH CORN EGGS LACTOSE GLUTEN 
WHEAT YEAST SOY ARTIFICIAL COLORS AND 
FLAVORS SUGAR PRESERVATIVES
•
• • •
• •
• •
•
NON-GMO
BEST BY: 02/2029 | BATCH NO: BR-2026-0298Dietary Supplement
FAST ABSORPTION
HIGH DOSE
850031157583 - NEW MELATONIN
* These statements have not been evaluated by the Food and Drug 
Administration. This product is not intended to diagnose, treat, cure, 
or prevent any disease. MELATONIN
+1 (917)908-1328
HEALTHFAREGROUP
HEALTHFARE</x:v>
      </x:c>
      <x:c r="G63" s="131" t="str">
        <x:v>Rice Flour, Capsule (Hypromellose,</x:v>
      </x:c>
      <x:c r="H63" s="131" t="str">
        <x:v>Adults should take one (1) capsule 30</x:v>
      </x:c>
      <x:c r="I63" s="131" t="str">
        <x:v>Melatonin\Melatonin 60mg C2 180capsules (2 Bottles)\Mockup &amp; Label\Melatonin 60 - Impressão.pdf</x:v>
      </x:c>
      <x:c r="J63" s="131" t="str">
        <x:v>Lote extraído de texto vetorial; confirmar visualmente antes de uso operacional.</x:v>
      </x:c>
    </x:row>
    <x:row r="64" ht="120" customHeight="1">
      <x:c r="A64" s="131" t="str">
        <x:v>Melatonin Complex 20mg 150capsules</x:v>
      </x:c>
      <x:c r="B64" s="131" t="str">
        <x:v>Melatonin</x:v>
      </x:c>
      <x:c r="C64" s="131" t="str">
        <x:v>1 Capsule</x:v>
      </x:c>
      <x:c r="D64" s="132" t="n">
        <x:v>150</x:v>
      </x:c>
      <x:c r="E64" s="131" t="str">
        <x:v>Melatonin 20mg *
Vitamin B6 (as pyridoxine HCI) 5mg
L-Theanine 25mg
Valerian Root (as Valeriana oﬃcinalis) 25mg
20 MG 150 CAPS</x:v>
      </x:c>
      <x:c r="F64" s="131" t="str">
        <x:v>Serving Size: 1 Capsule
Servings Per Container: 150
Serving Size: 1 Capsule
Servings Per Container: 150
Vitamin B6 (as pyridoxine HCI) 5mg
L-Theanine 25mg
Valerian Root (as Valeriana oﬃcinalis) 25mg
*
*
*
Dietary Supplement
20 MG 150 CAPS
Non-GMO Gluten-Free
NO
STARCH CORN EGGS LACTOSE GLUTEN 
WHEAT YEAST SOY ARTIFICIAL COLORS AND 
FLAVORS SUGAR PRESERVATIVES
•
• • •
• •
• •
•
NON-GMO
850031157576 - NEW MELATONIN COMPLEX
VEGAN
CAPSULES
+1 (917)908-1328
HEALTHFAREGROUP
HEALTHFARE</x:v>
      </x:c>
      <x:c r="G64" s="131" t="str">
        <x:v>Rice Flour, Capsule (Hypromellose,</x:v>
      </x:c>
      <x:c r="H64" s="131" t="str">
        <x:v>Adults should take one (1) capsule 30</x:v>
      </x:c>
      <x:c r="I64" s="131" t="str">
        <x:v>Melatonin\Melatonin Complex 20mg 150capsules\Mockup &amp; Label\Melatonin 20mg - Impressão.pdf</x:v>
      </x:c>
      <x:c r="J64" s="131" t="str"/>
    </x:row>
    <x:row r="65" ht="120" customHeight="1">
      <x:c r="A65" s="131" t="str">
        <x:v>Mullein Leaf</x:v>
      </x:c>
      <x:c r="B65" s="131" t="str">
        <x:v>Mullein Leaf</x:v>
      </x:c>
      <x:c r="C65" s="131" t="str">
        <x:v>2 Capsules</x:v>
      </x:c>
      <x:c r="D65" s="132" t="n">
        <x:v>100</x:v>
      </x:c>
      <x:c r="E65" s="131" t="str">
        <x:v>Mullein Leaf Extract 300mg (0.3g) *
**(10:1 extract, equivalent to 3,000mg of raw</x:v>
      </x:c>
      <x:c r="F65" s="131" t="str">
        <x:v>Serving Size: 2 Capsules
Servings Per Container: 100
Serving Size: 2 Capsules
Servings Per Container: 100
(Verbascum thapsus) (Leaf)
**(10:1 extract, equivalent to 3,000mg of raw 
 Mullein Leaf)
THE COLOR OF THIS PRODUCT NATURALLY VARIES
Traditional Herb
VEGAN
CAPSULES
850031157521 - NEW MULLEIN LEAF
BEST BY: 12/2029 | BATCH NO: BR-2026-0288
+1 (917)908-1328
HEALTHFAREGROUP
HEALTHFARE</x:v>
      </x:c>
      <x:c r="G65" s="131" t="str">
        <x:v>ES: Rice Flour, Capsule (Hypromellose, Water),</x:v>
      </x:c>
      <x:c r="H65" s="131" t="str">
        <x:v>Take two (2) capsules daily, preferably with</x:v>
      </x:c>
      <x:c r="I65" s="131" t="str">
        <x:v>Mullein Leaf\Mockup &amp; Label\Mullen Leaf - Impressão.pdf</x:v>
      </x:c>
      <x:c r="J65" s="131" t="str"/>
    </x:row>
    <x:row r="66" ht="120" customHeight="1">
      <x:c r="A66" s="131" t="str">
        <x:v>Multi Collagen</x:v>
      </x:c>
      <x:c r="B66" s="131" t="str">
        <x:v>Multi Collagen</x:v>
      </x:c>
      <x:c r="C66" s="131" t="str">
        <x:v>3 Capsules</x:v>
      </x:c>
      <x:c r="D66" s="132" t="n">
        <x:v>30</x:v>
      </x:c>
      <x:c r="E66" s="131" t="str">
        <x:v>600mg (0.60g)
1000mg (1g)</x:v>
      </x:c>
      <x:c r="F66" s="131" t="str">
        <x:v>Serving Size: 3 Capsules
Servings Per Container: 30
Serving Size: 3 Capsules
Servings Per Container: 30
*
HealthFare Skin,Nail &amp; Hair Blend
Chicken Collagen Peptides (Type II - derived from Gallus gallus)
Hydrolyzed Bovine Collagen Peptides (Type I &amp; III - derived from Bos taurus)
Plant-Based Collagen Peptides (Blend of amino acids and peptides)
Hydrolyzed Marine Collagen Peptides (Type I - derived from /f_ish, typically Gadus. or Tilapia.)
Eggshell Membrane Collagen Peptides (Type I, V &amp; X - derived from eggshell)
Chicken Bone Broth Concentrate (Extract from chicken bones - derived from Gallus gallus)
Saw Palmetto (Serenoa repens)
Hydrolyzed Keratin /parenleft.capderived from keratin proteins)
Bamboo Extract (Bambusa spp)
Hyaluronic Acid (Polymeric glycosaminoglycan)
Aloe Vera Extract (Aloe barbadensis)
MSM (Methylsulfonylmethane)
Vitamin C (Ascorbic Acid)
Vitamin E (dl-alpha-tocopherol)
600mg (0.60g)
1000mg (1g)
*
*
*
*
*
*
*
*
*
*
*
*
*
*
*
Dietary Supplement
TYPES I, II, III, V, X
NO
STARCH CORN EGGS LACTOSE GLUTEN 
WHEAT YEAST SOY ARTIFICIAL COLORS AND 
FLAVORS SUGAR PRESERVATIVES
•
• • •
• •
• •
•
NON-GMO
SKIN, HAIR, NAIL &amp; JOINT
multi
90 Capsules
850054045171 - NEW - MULTI COLLAGEN
+1 (917)908-1328
HEALTHFAREGROUP
HEALTHFARE</x:v>
      </x:c>
      <x:c r="G66" s="131" t="str">
        <x:v>Rice Flour, Capsule (Hypromellose,</x:v>
      </x:c>
      <x:c r="H66" s="131" t="str">
        <x:v>Take three (3) capsules daily, preferably with a meal.</x:v>
      </x:c>
      <x:c r="I66" s="131" t="str">
        <x:v>Multi Collagen\Mockup &amp; Label\Multi Collagen - Impressão.pdf</x:v>
      </x:c>
      <x:c r="J66" s="131" t="str">
        <x:v>Lote extraído de texto vetorial; confirmar visualmente antes de uso operacional.</x:v>
      </x:c>
    </x:row>
    <x:row r="67" ht="120" customHeight="1">
      <x:c r="A67" s="131" t="str">
        <x:v>Multi Collagen Protein</x:v>
      </x:c>
      <x:c r="B67" s="131" t="str">
        <x:v>Multi Collagen Protein</x:v>
      </x:c>
      <x:c r="C67" s="131" t="str">
        <x:v>3 Capsules</x:v>
      </x:c>
      <x:c r="D67" s="132" t="n">
        <x:v>60</x:v>
      </x:c>
      <x:c r="E67" s="131" t="str">
        <x:v>Multi Collagen Blend 2000mg (2g)*
1g</x:v>
      </x:c>
      <x:c r="F67" s="131" t="str">
        <x:v>Serving Size: 3 Capsules
Servings Per Container: 60
Serving Size: 3 Capsules
Servings Per Container: 60
Bovine Collagen Peptides (Type I and III)
Fish Collagen Peptides (Type I)
Chicken Collagen Peptides (Type II)
Eggshell Membrane Collagen (Type I , V, and X)
Calories
Protein
5
1g
** Percentage Daily Values are based on a 2.000 calorie diet.
NO
STARCH CORN EGGS LACTOSE GLUTEN 
WHEAT YEAST SOY ARTIFICIAL COLORS AND 
FLAVORS SUGAR PRESERVATIVES
•
• • •
• •
• •
•
NON-GMO
THE COLOR OF THIS PRODUCT NATURALLY VARIES
STORE THIS PRODUCT IN A COOL AND DRY PLACE
OTHER INGREDIENTES: Rice Flour, Capsule (Hypromellose, Water), 
Magnesium Stearate (Vegetable Source).
THIRD PARTY TESTED*
VEGAN
CAPSULES
Dietary Supplement
Per Serving
Collagen
Multi 
Protein
Types I, II, III, V, X
Non-GMO - Gluten Free
Hydrolized Peptides</x:v>
      </x:c>
      <x:c r="G67" s="131" t="str">
        <x:v>ES: Rice Flour, Capsule (Hypromellose, Water),</x:v>
      </x:c>
      <x:c r="H67" s="131" t="str">
        <x:v>Take three (3) capsules daily, preferably</x:v>
      </x:c>
      <x:c r="I67" s="131" t="str">
        <x:v>Multi Collagen Protein\Mockup &amp; Label\Multi Collagen Protein  - Impressão.pdf</x:v>
      </x:c>
      <x:c r="J67" s="131" t="str">
        <x:v>Lote extraído de texto vetorial; confirmar visualmente antes de uso operacional.</x:v>
      </x:c>
    </x:row>
    <x:row r="68" ht="120" customHeight="1">
      <x:c r="A68" s="131" t="str">
        <x:v>Mushroom Blend</x:v>
      </x:c>
      <x:c r="B68" s="131" t="str">
        <x:v>Mushroom Blend</x:v>
      </x:c>
      <x:c r="C68" s="131" t="str">
        <x:v>2 Capsules</x:v>
      </x:c>
      <x:c r="D68" s="132" t="n">
        <x:v>30</x:v>
      </x:c>
      <x:c r="E68" s="131" t="str">
        <x:v>900 mg *
3,000 mg *
1,500 mg *
5mg *</x:v>
      </x:c>
      <x:c r="F68" s="131" t="str">
        <x:v>Serving Size: 2 Capsules
Servings Per Container: 30
Serving Size: 2 Capsules
Servings Per Container: 30
Meshima (Phellinus Linteus) ,Poria Cocos (Wol/f_iporia Rxtensa), 
Shiitake (Lentinula Edodes), Tremella (Tremella Fuciformis),
Porcini (Boletus Edulis), Chanterelle (Cantharellus Cibarius),
Enoki Extract, Morchella (True Morels),Sweet Tooth (Hydnum Repandum)
Wood Hedgehog (Hydnum Repandum)
King Trumpet (Pleurotus Eryngii), Beech Brown (Buna Shimeji)
Clamshell (Hypsizygus Tessulatus), Portobella (Agaricus Bisporus)
Field (Agaricus campestris), Open cap (Agaricus Bisporus)
Pioppino (Agrocybe Aegerita), Shiitake Mycelium (Lentinula Edodes),
Marshmallow Root (Althaea Oﬃcinalis), Oyster Mushroom (Pleurotus Ostreatus)
Beech Brown Mushroom (Agaricus Blazei Murill)
Black Pepper (Piper Nigrum)
900 mg *
Dietary Supplement
NO
STARCH CORN EGGS LACTOSE GLUTEN 
WHEAT YEAST SOY ARTIFICIAL COLORS AND 
FLAVORS SUGAR PRESERVATIVES
NON-GMO
X003BPL6MD - NEW - MULTI COLLAGEN
27-in-1
27-in-1
Non-GMO
Gluten-Free Gluten-Free
60 Capsules
Lion's Mane (Hericium erinaceus) (100:1)
Reishi (Ganoderma lingzhi) (100:1)
Cordyceps (Ophiocordyceps sinensis) (100:1)
Chaga (Inonotus obliquus) (100:1)
Maitake (Grifola frondosa) (100:1)
Turkey Tail (Trametes versicolor) (100:1)
HealthShrooms Blend (Propietary Blend)
3,000 mg *
3,000 mg *
1,500 mg *
1,500 mg *
1,500 mg *
1,500 mg *
5mg *
SWEET TOOTH
SWEET TOOTH
MAITAKE MAITAKE
PORIA COCOS
PORIA COCOS
TREMELLA TREMELLA
KING TRUMPET
KING TRUMPET
SHIITAKE
SHIITAKE
ENOKI
ENOKI
PORCINIPORCINI
MUSHROOM COMPLEX
MUSHROOM COMPLEX
STORE IN A COOL, DRY PLACE
PRODUCED AND QUALITY TESTED IN THE 
USA USING GLOBALLY SOURCED INGREDIENTS.
+1 (917)908-1328
HEALTHFAREGROUP
HEALTHFARE</x:v>
      </x:c>
      <x:c r="G68" s="131" t="str">
        <x:v>Vegan Capsules, Vegetable Magnesium Stearate</x:v>
      </x:c>
      <x:c r="H68" s="131" t="str">
        <x:v>Take two (2) capsules daily,</x:v>
      </x:c>
      <x:c r="I68" s="131" t="str">
        <x:v>Mushroom Blend\Mockup &amp; Label\mushroom-blend - Impressão.ai</x:v>
      </x:c>
      <x:c r="J68" s="131" t="str">
        <x:v>Lote extraído de texto vetorial; confirmar visualmente antes de uso operacional.</x:v>
      </x:c>
    </x:row>
    <x:row r="69" ht="120" customHeight="1">
      <x:c r="A69" s="131" t="str">
        <x:v>Myo Inositol</x:v>
      </x:c>
      <x:c r="B69" s="131" t="str">
        <x:v>Myo Inositol</x:v>
      </x:c>
      <x:c r="C69" s="131" t="str">
        <x:v>4 Capsules</x:v>
      </x:c>
      <x:c r="D69" s="132" t="n">
        <x:v>50</x:v>
      </x:c>
      <x:c r="E69" s="131" t="str">
        <x:v>2,600mg (2.6g) *
2600 MG</x:v>
      </x:c>
      <x:c r="F69" s="131" t="str">
        <x:v>Serving Size: 4 Capsules
Servings Per Container: 50
Serving Size: 4 Capsules
Servings Per Container: 50myo inositol
Dietary Supplement
2600 MG
Per Serving
200 CAPS
Non-GMO Gluten-Free
NO
STARCH CORN EGGS LACTOSE GLUTEN 
WHEAT YEAST SOY ARTIFICIAL COLORS AND 
FLAVORS SUGAR PRESERVATIVES
•
• • •
• •
• •
•
NON-GMO
ULTRA HIGH PURITY
*
850031157330 - NEW MYO INOSITOL
VEGAN
CAPSULES
+1 (917)908-1328
HEALTHFAREGROUP
HEALTHFARE</x:v>
      </x:c>
      <x:c r="G69" s="131" t="str">
        <x:v>ES: Rice Flour, Capsule (Hypromellose, Water),</x:v>
      </x:c>
      <x:c r="H69" s="131" t="str">
        <x:v>Take four (4) capsules daily, preferably</x:v>
      </x:c>
      <x:c r="I69" s="131" t="str">
        <x:v>Myo Inositol\Mockup &amp; Label\Myo Inositol - Impressão.pdf</x:v>
      </x:c>
      <x:c r="J69" s="131" t="str"/>
    </x:row>
    <x:row r="70" ht="120" customHeight="1">
      <x:c r="A70" s="131" t="str">
        <x:v>NAC 1000mg 240caps</x:v>
      </x:c>
      <x:c r="B70" s="131" t="str">
        <x:v>NAC</x:v>
      </x:c>
      <x:c r="C70" s="131" t="str">
        <x:v>3 Vegetarian Capsules</x:v>
      </x:c>
      <x:c r="D70" s="132" t="n">
        <x:v>80</x:v>
      </x:c>
      <x:c r="E70" s="131" t="str">
        <x:v>1000 MG
N-Acetyl-L-Cysteine (NAC) 1000mg (1g) *</x:v>
      </x:c>
      <x:c r="F70" s="131" t="str">
        <x:v>Serving Size: 3 Vegetarian Capsules
Servings Per Container: 80
Serving Size: 3 Vegetarian Capsules
Servings Per Container: 80
N-Acetyl-L-Cysteine (NAC) 1000mg (1g) *
N-Acetyl-L-Cysteine 98%
X003V7DIJP - NEW NAC N-ACETYL L-CYSTEINE
VEGAN
CAPSULES
EXPIRATION DATE: 03/2029 | BATCH NO: 04202478
+1 (917)908-1328
HEALTHFAREGROUP
HEALTHFARE</x:v>
      </x:c>
      <x:c r="G70" s="131" t="str">
        <x:v>ES: Rice Flour, Capsule (Hypromellose, Water),</x:v>
      </x:c>
      <x:c r="H70" s="131" t="str">
        <x:v>Take three (3) capsules daily, preferably</x:v>
      </x:c>
      <x:c r="I70" s="131" t="str">
        <x:v>NAC\NAC 1000mg 240caps\Mockup &amp; Label\NAC 1000MG - Padrão.pdf</x:v>
      </x:c>
      <x:c r="J70" s="131" t="str">
        <x:v>Lote extraído de texto vetorial; confirmar visualmente antes de uso operacional.</x:v>
      </x:c>
    </x:row>
    <x:row r="71" ht="120" customHeight="1">
      <x:c r="A71" s="131" t="str">
        <x:v>NAC 1300mg 240caps</x:v>
      </x:c>
      <x:c r="B71" s="131" t="str">
        <x:v>NAC</x:v>
      </x:c>
      <x:c r="C71" s="131" t="str">
        <x:v>3 Vegetarian Capsules</x:v>
      </x:c>
      <x:c r="D71" s="132" t="n">
        <x:v>80</x:v>
      </x:c>
      <x:c r="E71" s="131" t="str">
        <x:v>1300 MG
N-Acetyl-L-Cysteine (NAC) 1300mg (1,3g) *</x:v>
      </x:c>
      <x:c r="F71" s="131" t="str">
        <x:v>Serving Size: 3 Vegetarian Capsules
Servings Per Container: 80
Serving Size: 3 Vegetarian Capsules
Servings Per Container: 80
N-Acetyl-L-Cysteine (NAC) 1300mg (1,3g) *
N-Acetyl-L-Cysteine 98%
850031157637 - NEW N-ACETYL L-CYSTEINE
VEGAN
CAPSULES
EXPIRATION DATE: 03/2029 | BATCH NO: BR-2026-0309
+1 (917)908-1328
HEALTHFAREGROUP
HEALTHFARE</x:v>
      </x:c>
      <x:c r="G71" s="131" t="str">
        <x:v>ES: Rice Flour, Capsule (Hypromellose, Water),</x:v>
      </x:c>
      <x:c r="H71" s="131" t="str">
        <x:v>Take three (3) capsules daily, preferably</x:v>
      </x:c>
      <x:c r="I71" s="131" t="str">
        <x:v>NAC\NAC 1300mg 240caps\Mockup &amp; Label\NAC 1300MG - Impressão.pdf</x:v>
      </x:c>
      <x:c r="J71" s="131" t="str"/>
    </x:row>
    <x:row r="72" ht="120" customHeight="1">
      <x:c r="A72" s="131" t="str">
        <x:v>NAC 600mg 200caps</x:v>
      </x:c>
      <x:c r="B72" s="131" t="str">
        <x:v>NAC</x:v>
      </x:c>
      <x:c r="C72" s="131" t="str">
        <x:v>3 Vegetarian Capsules</x:v>
      </x:c>
      <x:c r="D72" s="132" t="n">
        <x:v>66</x:v>
      </x:c>
      <x:c r="E72" s="131" t="str">
        <x:v>600 MG
N-Acetyl-L-Cysteine (NAC) 600mg (0.6g) *
850054045416 - NEW NAC 600MG</x:v>
      </x:c>
      <x:c r="F72" s="131" t="str">
        <x:v>Serving Size: 3 Vegetarian Capsules
Servings Per Container: 66
Serving Size: 3 Vegetarian Capsules
Servings Per Container: 66
N-Acetyl-L-Cysteine (NAC) 600mg (0.6g) *
N-Acetyl-L-Cysteine 98%
850054045416 - NEW NAC 600MG
VEGAN
CAPSULES
EXPIRATION DATE: 03/2029 | BATCH NO: 86421196
+1 (917)908-1328
HEALTHFAREGROUP
HEALTHFARE</x:v>
      </x:c>
      <x:c r="G72" s="131" t="str">
        <x:v>ES: Rice Flour, Capsule (Hypromellose, Water),</x:v>
      </x:c>
      <x:c r="H72" s="131" t="str">
        <x:v>Take three (3) capsules daily, preferably</x:v>
      </x:c>
      <x:c r="I72" s="131" t="str">
        <x:v>NAC\NAC 600mg 200caps\Mockup &amp; Label\NAC 600MG - Impressão.pdf</x:v>
      </x:c>
      <x:c r="J72" s="131" t="str">
        <x:v>Lote extraído de texto vetorial; confirmar visualmente antes de uso operacional.</x:v>
      </x:c>
    </x:row>
    <x:row r="73" ht="120" customHeight="1">
      <x:c r="A73" s="131" t="str">
        <x:v>NAD+Celluvance 10,573mg 120capsules</x:v>
      </x:c>
      <x:c r="B73" s="131" t="str">
        <x:v>NAD+ Celluvance</x:v>
      </x:c>
      <x:c r="C73" s="131" t="str">
        <x:v>2 Capsules</x:v>
      </x:c>
      <x:c r="D73" s="132" t="n">
        <x:v>60</x:v>
      </x:c>
      <x:c r="E73" s="131" t="str">
        <x:v>10,573 MG
10,073mg (10g) *Celluvance™ Proprietary Blend
NAD+ 500mg (0.5g) *</x:v>
      </x:c>
      <x:c r="F73" s="131" t="str">
        <x:v>Serving Size: 2 Capsules
Servings Per Container: 60
Serving Size: 2 Capsules
Servings Per Container: 60
Urolithin A, CoQ10 (Ubiquinone), L-Tyrosine (Amino Acid), 
Resveratrol (Polygonum cuspidatum) (Root Extract), Betaine TMG
(Trimethylglycine), Rhodiola Rosea (Root Extract 50:1), 
Olive Leaf Extract (Olea europaea) (Leaf) (50:1), Quercetin
(Sophora japonica), Black Pepper (Piper nigrum), 
Luteolin, Apigenin (Petroselinum crispum), Sun Flower Lecithin 
(Helianthus annuus) , Astaxanthin (Haematococcus pluvialis).
10,073mg (10g) *Celluvance™ Proprietary Blend
DIETARY SUPPLEMENT
NO
STARCH CORN EGGS LACTOSE GLUTEN 
WHEAT YEAST SOY ARTIFICIAL COLORS AND 
FLAVORS SUGAR PRESERVATIVES
•
• • •
• •
• •
•
NON-GMO
850054045379 - NEW CELLUVANCE NAD+
120 CAPSULES
RESVERATROL
UROLITHIN A
VEGAN
CAPSULES
+1 (917)908-1328
HEALTHFAREGROUP
HEALTHFARE</x:v>
      </x:c>
      <x:c r="G73" s="131" t="str">
        <x:v>Vegetable Capsule (Hypromellose, Water).</x:v>
      </x:c>
      <x:c r="H73" s="131" t="str">
        <x:v>Take two (2) capsules daily.</x:v>
      </x:c>
      <x:c r="I73" s="131" t="str">
        <x:v>NAD+ Celluvance\NAD+Celluvance 10,573mg 120capsules\Mockup &amp; Label\NAD+ Celluvance 120 - Impressão.pdf</x:v>
      </x:c>
      <x:c r="J73" s="131" t="str"/>
    </x:row>
    <x:row r="74" ht="120" customHeight="1">
      <x:c r="A74" s="131" t="str">
        <x:v>GlucoBalance 90 Caps</x:v>
      </x:c>
      <x:c r="B74" s="131" t="str">
        <x:v>NaturWel</x:v>
      </x:c>
      <x:c r="C74" s="131" t="str">
        <x:v>2 Capsules</x:v>
      </x:c>
      <x:c r="D74" s="132" t="n">
        <x:v>45</x:v>
      </x:c>
      <x:c r="E74" s="131" t="str">
        <x:v>Zinc (as zinc oxide) - 50 mg
Chromium (as chromium HVP chelate) - 1,000 mcg
Apple Cider Vinegar (100:1) - 400 mg
Turmeric (100:1) - 400 mg
Ceylon Cinnamon (100:1) - 400 mg
Ginseng (100:1) - 400 mg
Berberine (100:1) - 400 mg
N-Acetyl Cysteine (NAC) - 400 mg
GlucoBalance Max proprietary blend - 330 mg
Black Pepper (Piper nigrum) fruit extract (100:1) - 10 mg</x:v>
      </x:c>
      <x:c r="F74" s="131" t="str">
        <x:v>Serving Size: 2 Capsules
Servings Per Container: 45
Zinc (as zinc oxide) - 50 mg
Chromium (as chromium HVP chelate) - 1,000 mcg
Apple Cider Vinegar (100:1) - 400 mg
Turmeric (100:1) - 400 mg
Ceylon Cinnamon (100:1) - 400 mg
Ginseng (100:1) - 400 mg
Berberine (100:1) - 400 mg
N-Acetyl Cysteine (NAC) - 400 mg
GlucoBalance Max proprietary blend - 330 mg
Black Pepper (Piper nigrum) fruit extract (100:1) - 10 mg</x:v>
      </x:c>
      <x:c r="G74" s="131" t="str">
        <x:v>Vegetable Capsule; Vegetable Magnesium Stearate.</x:v>
      </x:c>
      <x:c r="H74" s="131" t="str"/>
      <x:c r="I74" s="131" t="str">
        <x:v>NaturWel\GlucoBalance 90 Caps\Label\GlucoBalance 90 Caps_OL.pdf</x:v>
      </x:c>
      <x:c r="J74" s="131" t="str">
        <x:v>Rótulo com texto convertido em contornos; dados transcritos por revisão visual.</x:v>
      </x:c>
    </x:row>
    <x:row r="75" ht="120" customHeight="1">
      <x:c r="A75" s="131" t="str">
        <x:v>LibiDoer 90 Caps</x:v>
      </x:c>
      <x:c r="B75" s="131" t="str">
        <x:v>NaturWel</x:v>
      </x:c>
      <x:c r="C75" s="131" t="str">
        <x:v>2 Capsules</x:v>
      </x:c>
      <x:c r="D75" s="132" t="n">
        <x:v>45</x:v>
      </x:c>
      <x:c r="E75" s="131" t="str">
        <x:v>Ashwagandha (Withania somnifera) (100:1) - 2,500 mg
Fenugreek (Trigonella foenum-graecum) seed (100:1) - 2,400 mg
Maca Blend proprietary blend - 5,400 mg
Tribulus Terrestris whole herb/fruit (300:1) - 32,500 mg
NaturEnergy proprietary blend - 8,520 mg
Black Pepper (Piper nigrum) fruit extract (100:1) - 10 mg</x:v>
      </x:c>
      <x:c r="F75" s="131" t="str">
        <x:v>Serving Size: 2 Capsules
Servings Per Container: 45
Ashwagandha (Withania somnifera) (100:1) - 2,500 mg
Fenugreek (Trigonella foenum-graecum) seed (100:1) - 2,400 mg
Maca Blend proprietary blend - 5,400 mg
Tribulus Terrestris whole herb/fruit (300:1) - 32,500 mg
NaturEnergy proprietary blend - 8,520 mg
Black Pepper (Piper nigrum) fruit extract (100:1) - 10 mg</x:v>
      </x:c>
      <x:c r="G75" s="131" t="str">
        <x:v>Vegetable Capsule; Vegetable Magnesium Stearate.</x:v>
      </x:c>
      <x:c r="H75" s="131" t="str"/>
      <x:c r="I75" s="131" t="str">
        <x:v>NaturWel\LibiDoer 90 Caps\Label\LibiDoer 90 Caps_Updated_OL.pdf</x:v>
      </x:c>
      <x:c r="J75" s="131" t="str">
        <x:v>Rótulo com texto convertido em contornos; dados transcritos por revisão visual.</x:v>
      </x:c>
    </x:row>
    <x:row r="76" ht="120" customHeight="1">
      <x:c r="A76" s="131" t="str">
        <x:v>NaturElixir 90 Caps</x:v>
      </x:c>
      <x:c r="B76" s="131" t="str">
        <x:v>NaturWel</x:v>
      </x:c>
      <x:c r="C76" s="131" t="str">
        <x:v>3 Capsules</x:v>
      </x:c>
      <x:c r="D76" s="132" t="n">
        <x:v>30</x:v>
      </x:c>
      <x:c r="E76" s="131" t="str">
        <x:v>Vitamin C (as ascorbic acid) - 90 mg
Vitamin E - 15 mg
Folate - 1,000 mcg
Biotin - 10,000 mcg
Rhodiola Rosea extract (100:1) - 2,500 mg
Turmeric whole plant extract (100:1) - 1,000 mg
NaturIn Blend (collagen types I, II, III, V and VII) - 1,000 mg
NaturHair Blend proprietary blend - 400 mg
NaturYouth Blend proprietary blend - 1,000 mg
Black Pepper (Piper nigrum) fruit extract (100:1) - 5 mg</x:v>
      </x:c>
      <x:c r="F76" s="131" t="str">
        <x:v>Serving Size: 3 Capsules
Servings Per Container: 30
Vitamin C (as ascorbic acid) - 90 mg
Vitamin E - 15 mg
Folate - 1,000 mcg
Biotin - 10,000 mcg
Rhodiola Rosea extract (100:1) - 2,500 mg
Turmeric whole plant extract (100:1) - 1,000 mg
NaturIn Blend (collagen types I, II, III, V and VII) - 1,000 mg
NaturHair Blend proprietary blend - 400 mg
NaturYouth Blend proprietary blend - 1,000 mg
Black Pepper (Piper nigrum) fruit extract (100:1) - 5 mg</x:v>
      </x:c>
      <x:c r="G76" s="131" t="str">
        <x:v>Vegetable Capsule; Vegetable Magnesium Stearate.</x:v>
      </x:c>
      <x:c r="H76" s="131" t="str"/>
      <x:c r="I76" s="131" t="str">
        <x:v>NaturWel\NaturElixir 90 Caps\Label\NaturElixir 90 Caps_Updated_OL.pdf</x:v>
      </x:c>
      <x:c r="J76" s="131" t="str">
        <x:v>Rótulo com texto convertido em contornos; dados transcritos por revisão visual.</x:v>
      </x:c>
    </x:row>
    <x:row r="77" ht="120" customHeight="1">
      <x:c r="A77" s="131" t="str">
        <x:v>NaturMinerals 90 caps</x:v>
      </x:c>
      <x:c r="B77" s="131" t="str">
        <x:v>NaturWel</x:v>
      </x:c>
      <x:c r="C77" s="131" t="str">
        <x:v>2 Capsules</x:v>
      </x:c>
      <x:c r="D77" s="132" t="n">
        <x:v>45</x:v>
      </x:c>
      <x:c r="E77" s="131" t="str">
        <x:v>Vitamin C (as ascorbic acid) - 90 mg
Vitamin D3 - 25 mcg (1,000 IU)
Sea Moss whole plant extract (100:1) - 3,000 mg
Black Seed extract (100:1) - 3,000 mg
Ashwagandha extract (100:1) - 1,000 mg
Turmeric extract (100:1) - 1,000 mg
Bladderwrack whole plant extract (100:1) - 1,000 mg
Burdock root extract (100:1) - 1,000 mg
Green Tea extract (100:1) - 1,000 mg
Spirulina extract (100:1) - 1,000 mg
Beetroot powder extract (100:1) - 1,000 mg
NaturMineBoost proprietary blend - 600 mg
Black Pepper (Piper nigrum) fruit extract (100:1) - 5 mg</x:v>
      </x:c>
      <x:c r="F77" s="131" t="str">
        <x:v>Serving Size: 2 Capsules
Servings Per Container: 45
Vitamin C (as ascorbic acid) - 90 mg
Vitamin D3 - 25 mcg (1,000 IU)
Sea Moss whole plant extract (100:1) - 3,000 mg
Black Seed extract (100:1) - 3,000 mg
Ashwagandha extract (100:1) - 1,000 mg
Turmeric extract (100:1) - 1,000 mg
Bladderwrack whole plant extract (100:1) - 1,000 mg
Burdock root extract (100:1) - 1,000 mg
Green Tea extract (100:1) - 1,000 mg
Spirulina extract (100:1) - 1,000 mg
Beetroot powder extract (100:1) - 1,000 mg
NaturMineBoost proprietary blend - 600 mg
Black Pepper (Piper nigrum) fruit extract (100:1) - 5 mg</x:v>
      </x:c>
      <x:c r="G77" s="131" t="str">
        <x:v>Vegetable Capsule; Vegetable Magnesium Stearate.</x:v>
      </x:c>
      <x:c r="H77" s="131" t="str"/>
      <x:c r="I77" s="131" t="str">
        <x:v>NaturWel\NaturMinerals 90 caps\Label\NaturMinerals 90 Caps_OL.pdf</x:v>
      </x:c>
      <x:c r="J77" s="131" t="str">
        <x:v>Rótulo com texto convertido em contornos; dados transcritos por revisão visual.</x:v>
      </x:c>
    </x:row>
    <x:row r="78" ht="120" customHeight="1">
      <x:c r="A78" s="131" t="str">
        <x:v>NaturShrooms 90 Caps</x:v>
      </x:c>
      <x:c r="B78" s="131" t="str">
        <x:v>NaturWel</x:v>
      </x:c>
      <x:c r="C78" s="131" t="str">
        <x:v>2 Capsules</x:v>
      </x:c>
      <x:c r="D78" s="132" t="n">
        <x:v>45</x:v>
      </x:c>
      <x:c r="E78" s="131" t="str">
        <x:v>Lion's Mane Mushroom (Hericium erinaceus) (100:1) - 3,000 mg
Turkey Tail Mushroom (Trametes versicolor) (100:1) - 3,000 mg
Reishi Mushroom (Ganoderma lingzhi) (100:1) - 1,500 mg
Cordyceps Mushroom (Ophiocordyceps sinensis) (100:1) - 1,500 mg
Chaga Mushroom (Inonotus obliquus) (100:1) - 1,500 mg
Maitake Mushroom (Grifola frondosa) (100:1) - 1,500 mg
NaturShrooms Blend (proprietary blend) - 900 mg
Black Pepper (Piper nigrum) fruit extract (100:1) - 5 mg</x:v>
      </x:c>
      <x:c r="F78" s="131" t="str">
        <x:v>Serving Size: 2 Capsules
Servings Per Container: 45
Lion's Mane Mushroom (Hericium erinaceus) (100:1) - 3,000 mg
Turkey Tail Mushroom (Trametes versicolor) (100:1) - 3,000 mg
Reishi Mushroom (Ganoderma lingzhi) (100:1) - 1,500 mg
Cordyceps Mushroom (Ophiocordyceps sinensis) (100:1) - 1,500 mg
Chaga Mushroom (Inonotus obliquus) (100:1) - 1,500 mg
Maitake Mushroom (Grifola frondosa) (100:1) - 1,500 mg
NaturShrooms Blend (proprietary blend) - 900 mg
Black Pepper (Piper nigrum) fruit extract (100:1) - 5 mg</x:v>
      </x:c>
      <x:c r="G78" s="131" t="str">
        <x:v>Vegetable Capsule; Vegetable Magnesium Stearate.</x:v>
      </x:c>
      <x:c r="H78" s="131" t="str"/>
      <x:c r="I78" s="131" t="str">
        <x:v>NaturWel\NaturShrooms 90 Caps\Label\NaturShrooms 90 Caps_OL.pdf</x:v>
      </x:c>
      <x:c r="J78" s="131" t="str">
        <x:v>Rótulo com texto convertido em contornos; dados transcritos por revisão visual.</x:v>
      </x:c>
    </x:row>
    <x:row r="79" ht="120" customHeight="1">
      <x:c r="A79" s="131" t="str">
        <x:v>Panax Ginseng &amp; Ginkgo Biloba</x:v>
      </x:c>
      <x:c r="B79" s="131" t="str">
        <x:v>Panax Ginseng &amp; Ginkgo Biloba</x:v>
      </x:c>
      <x:c r="C79" s="131" t="str">
        <x:v>2 Capsules</x:v>
      </x:c>
      <x:c r="D79" s="132" t="n">
        <x:v>75</x:v>
      </x:c>
      <x:c r="E79" s="131" t="str">
        <x:v>**(100:1 extract, equivalent to 5,000mg of raw
50mg (0.05g) *
**(100:1 extract, equivalent to 2,500mg of raw
25mg (0.02g) *
5mg *
7500 MG</x:v>
      </x:c>
      <x:c r="F79" s="131" t="str">
        <x:v>Serving Size: 2 Capsules
Servings Per Container: 75
Serving Size: 2 Capsules
Servings Per Container: 75
Korean Ginseng
 (Panax ginseng) (Root) 
 **(100:1 extract, equivalent to 2,500mg of raw
 Korean Ginseng) 
25mg (0.02g) *
Black Pepper Extract
 (Piper Nigrum) (Fruit)
 (Standardized to contain 95% Piperine) 
5mg *
NO
STARCH CORN EGGS LACTOSE GLUTEN 
WHEAT YEAST SOY ARTIFICIAL COLORS AND 
FLAVORS SUGAR PRESERVATIVES
•
• • •
• •
• •
•
NON-GMO
X00492PFL5 - NEW PANAX GINSENG
THE COLOR OF THIS PRODUCT NATURALLY VARIES
Traditional Herb
VEGAN
CAPSULES</x:v>
      </x:c>
      <x:c r="G79" s="131" t="str">
        <x:v>Rice Flour, Capsule (Hypromellose,</x:v>
      </x:c>
      <x:c r="H79" s="131" t="str">
        <x:v>Take two (2) capsules daily, preferably</x:v>
      </x:c>
      <x:c r="I79" s="131" t="str">
        <x:v>Panax Ginseng &amp; Ginkgo Biloba\Mockup &amp; Label\Panax Ginseng &amp; Ginkgo Biloba - Impressão.pdf</x:v>
      </x:c>
      <x:c r="J79" s="131" t="str">
        <x:v>Lote extraído de texto vetorial; confirmar visualmente antes de uso operacional.</x:v>
      </x:c>
    </x:row>
    <x:row r="80" ht="120" customHeight="1">
      <x:c r="A80" s="131" t="str">
        <x:v>Pantothenic Acid</x:v>
      </x:c>
      <x:c r="B80" s="131" t="str">
        <x:v>Pantothenic Acid</x:v>
      </x:c>
      <x:c r="C80" s="131" t="str">
        <x:v>1 Capsule</x:v>
      </x:c>
      <x:c r="D80" s="132" t="n">
        <x:v>200</x:v>
      </x:c>
      <x:c r="E80" s="131" t="str">
        <x:v>treat, cure, or prevent any disease. Pantothenic Acid (Vitamin B5) 500mg 10,000%
500 MG 200 CAPS</x:v>
      </x:c>
      <x:c r="F80" s="131" t="str">
        <x:v>Serving Size: 1 Capsule
Servings Per Container: 200
BEST BY: 09/2029 | BATCH NO: 2003-20015600Dietary Supplement
NO
STARCH CORN EGGS LACTOSE GLUTEN 
WHEAT YEAST SOY ARTIFICIAL COLORS AND 
FLAVORS SUGAR PRESERVATIVES
•
• • •
• •
• •
•
NON-GMO
X003BWXFAH - NEW PANTOTHENIC ACID
VEGAN
CAPSULES
500 MG 200 CAPS
Non-GMO Gluten-Free
+1 (917)908-1328
HEALTHFAREGROUP
HEALTHFARE</x:v>
      </x:c>
      <x:c r="G80" s="131" t="str">
        <x:v>ES: Rice Flour, Capsule (Hypromellose, Water),</x:v>
      </x:c>
      <x:c r="H80" s="131" t="str">
        <x:v>Take (1) capsule daily, preferably</x:v>
      </x:c>
      <x:c r="I80" s="131" t="str">
        <x:v>Pantothenic Acid\Mockup &amp; Label\Panthotenic Acid - Impressão.ai</x:v>
      </x:c>
      <x:c r="J80" s="131" t="str">
        <x:v>Lote extraído de texto vetorial; confirmar visualmente antes de uso operacional.</x:v>
      </x:c>
    </x:row>
    <x:row r="81" ht="120" customHeight="1">
      <x:c r="A81" s="131" t="str">
        <x:v>Plant Sterols</x:v>
      </x:c>
      <x:c r="B81" s="131" t="str">
        <x:v>Plant Sterols</x:v>
      </x:c>
      <x:c r="C81" s="131" t="str">
        <x:v>4 Capsules</x:v>
      </x:c>
      <x:c r="D81" s="132" t="n">
        <x:v>60</x:v>
      </x:c>
      <x:c r="E81" s="131" t="str">
        <x:v>(Equivalent to 2,000mg of Phytosterols Complex per serving)
2.000mg (2g) *</x:v>
      </x:c>
      <x:c r="F81" s="131" t="str">
        <x:v>Serving Size: 4 Capsules
Servings Per Container: 60
Serving Size: 4 Capsules
Servings Per Container: 60plant sterols
COMPLEX WITH BETA SITOSTEROL
Dietary Supplement Traditional Herb
Non-GMO Gluten-Free
240 CAPS2000 MG
Per Serving
EXTRA STRENGTH
*
NO
STARCH CORN EGGS LACTOSE GLUTEN 
WHEAT YEAST SOY ARTIFICIAL COLORS AND 
FLAVORS SUGAR PRESERVATIVES
•
• • •
• •
• •
•
NON-GMO
THE COLOR OF THIS PRODUCT NATURALLY VARIES
850031157361 - NEW PLANT STEROLS
BEST BY: 07/2029 | BATCH NO: BR-2026-0304
VEGAN
CAPSULES
+1 (917)908-1328
HEALTHFAREGROUP
HEALTHFARE</x:v>
      </x:c>
      <x:c r="G81" s="131" t="str">
        <x:v>ES: Rice Flour, Capsule (Hypromellose, Water),</x:v>
      </x:c>
      <x:c r="H81" s="131" t="str">
        <x:v>Take four (4) capsules daily, preferably</x:v>
      </x:c>
      <x:c r="I81" s="131" t="str">
        <x:v>Plant Sterols\Mockup &amp; Label\Plant Sterols - Impressão.pdf</x:v>
      </x:c>
      <x:c r="J81" s="131" t="str"/>
    </x:row>
    <x:row r="82" ht="120" customHeight="1">
      <x:c r="A82" s="131" t="str">
        <x:v>Potassium Iodide</x:v>
      </x:c>
      <x:c r="B82" s="131" t="str">
        <x:v>Potassium Iodide</x:v>
      </x:c>
      <x:c r="C82" s="131" t="str">
        <x:v>2 Tablets</x:v>
      </x:c>
      <x:c r="D82" s="132" t="n">
        <x:v>30</x:v>
      </x:c>
      <x:c r="E82" s="131" t="str">
        <x:v>130 MG
Potassium Iodide 130mg *</x:v>
      </x:c>
      <x:c r="F82" s="131" t="str">
        <x:v>Serving Size: 2 Tablets
Servings Per Container: 30
Serving Size: 2 Tablets
Servings Per Container: 30
Amount Per Serving % Daily Value*
Potassium Iodide 130mg *
* Daily Value not established
NO
STARCH CORN EGGS LACTOSE GLUTEN 
WHEAT YEAST SOY ARTIFICIAL COLORS AND 
FLAVORS SUGAR PRESERVATIVES
•
• • •
• •
• •
•
NON-GMO
BEST BY: 01/2034 | BATCH NO: 2002-20220315Dietary Supplement
VEGAN
TABLETS
X003HHUP31 - NEW POTASSIUM IODIDE
* These statements have not been evaluated by the Food and Drug 
Administration. This product is not intended to diagnose, treat, 
cure, or prevent any disease.
+1 (917)908-1328
HEALTHFAREGROUP
HEALTHFARE</x:v>
      </x:c>
      <x:c r="G82" s="131" t="str">
        <x:v>Microcrystalline Cellulose, Dicalcium</x:v>
      </x:c>
      <x:c r="H82" s="131" t="str">
        <x:v>For short term use only (up to 10 days).</x:v>
      </x:c>
      <x:c r="I82" s="131" t="str">
        <x:v>Potassium Iodide\Potassium Iodide\Mockup &amp; Label\Potassium Iodide - Impressão.ai</x:v>
      </x:c>
      <x:c r="J82" s="131" t="str">
        <x:v>Lote extraído de texto vetorial; confirmar visualmente antes de uso operacional.</x:v>
      </x:c>
    </x:row>
    <x:row r="83" ht="120" customHeight="1">
      <x:c r="A83" s="131" t="str">
        <x:v>Potassium Iodide C2</x:v>
      </x:c>
      <x:c r="B83" s="131" t="str">
        <x:v>Potassium Iodide</x:v>
      </x:c>
      <x:c r="C83" s="131" t="str">
        <x:v>2 Tablets</x:v>
      </x:c>
      <x:c r="D83" s="132" t="n">
        <x:v>30</x:v>
      </x:c>
      <x:c r="E83" s="131" t="str">
        <x:v>130 MG
Potassium Iodide 130mg *</x:v>
      </x:c>
      <x:c r="F83" s="131" t="str">
        <x:v>Serving Size: 2 Tablets
Servings Per Container: 30
Serving Size: 2 Tablets
Servings Per Container: 30
Amount Per Serving % Daily Value*
Potassium Iodide 130mg *
* Daily Value not established
NO
STARCH CORN EGGS LACTOSE GLUTEN 
WHEAT YEAST SOY ARTIFICIAL COLORS AND 
FLAVORS SUGAR PRESERVATIVES
•
• • •
• •
• •
•
NON-GMO
BEST BY: 01/2034 | BATCH NO: BR-2026-0041Dietary Supplement
VEGAN
TABLETS
850031157415 - NEW POTASSIUM IODIDE
* These statements have not been evaluated by the Food and Drug 
Administration. This product is not intended to diagnose, treat, 
cure, or prevent any disease.
+1 (917)908-1328
HEALTHFAREGROUP
HEALTHFARE</x:v>
      </x:c>
      <x:c r="G83" s="131" t="str">
        <x:v>Microcrystalline Cellulose, Dicalcium</x:v>
      </x:c>
      <x:c r="H83" s="131" t="str">
        <x:v>For short term use only (up to 10 days).</x:v>
      </x:c>
      <x:c r="I83" s="131" t="str">
        <x:v>Potassium Iodide\Potassium Iodide C2\Mockup &amp; Label\Potassium Iodide - Impressão.pdf</x:v>
      </x:c>
      <x:c r="J83" s="131" t="str">
        <x:v>Lote extraído de texto vetorial; confirmar visualmente antes de uso operacional.</x:v>
      </x:c>
    </x:row>
    <x:row r="84" ht="120" customHeight="1">
      <x:c r="A84" s="131" t="str">
        <x:v>Potassium Iodide C6</x:v>
      </x:c>
      <x:c r="B84" s="131" t="str">
        <x:v>Potassium Iodide</x:v>
      </x:c>
      <x:c r="C84" s="131" t="str">
        <x:v>2 Tablets</x:v>
      </x:c>
      <x:c r="D84" s="132" t="n">
        <x:v>30</x:v>
      </x:c>
      <x:c r="E84" s="131" t="str">
        <x:v>130 MG
Potassium Iodide 130mg *</x:v>
      </x:c>
      <x:c r="F84" s="131" t="str">
        <x:v>Serving Size: 2 Tablets
Servings Per Container: 30
Serving Size: 2 Tablets
Servings Per Container: 30
Amount Per Serving % Daily Value*
Potassium Iodide 130mg *
* Daily Value not established
NO
STARCH CORN EGGS LACTOSE GLUTEN 
WHEAT YEAST SOY ARTIFICIAL COLORS AND 
FLAVORS SUGAR PRESERVATIVES
•
• • •
• •
• •
•
NON-GMO
BEST BY: 01/2034 | BATCH NO: BR-2026-0041Dietary Supplement
VEGAN
TABLETS
850031157422 - NEW POTASSIUM IODIDE
* These statements have not been evaluated by the Food and Drug 
Administration. This product is not intended to diagnose, treat, 
cure, or prevent any disease.
+1 (917)908-1328
HEALTHFAREGROUP
HEALTHFARE</x:v>
      </x:c>
      <x:c r="G84" s="131" t="str">
        <x:v>Microcrystalline Cellulose, Dicalcium</x:v>
      </x:c>
      <x:c r="H84" s="131" t="str">
        <x:v>For short term use only (up to 10 days).</x:v>
      </x:c>
      <x:c r="I84" s="131" t="str">
        <x:v>Potassium Iodide\Potassium Iodide C6\Mockup &amp; Label\Potassium Iodide - Impressão.ai</x:v>
      </x:c>
      <x:c r="J84" s="131" t="str">
        <x:v>Lote extraído de texto vetorial; confirmar visualmente antes de uso operacional.</x:v>
      </x:c>
    </x:row>
    <x:row r="85" ht="120" customHeight="1">
      <x:c r="A85" s="131" t="str">
        <x:v>Psyllium Husk</x:v>
      </x:c>
      <x:c r="B85" s="131" t="str">
        <x:v>Psyllium Husk</x:v>
      </x:c>
      <x:c r="C85" s="131" t="str">
        <x:v>3 Capsules</x:v>
      </x:c>
      <x:c r="D85" s="132" t="n">
        <x:v>80</x:v>
      </x:c>
      <x:c r="E85" s="131" t="str">
        <x:v>Psyllium Husk Powder(Hulls) 1.395mg (1.39g) *
Inulin (Chicory Root) 75mg (0.07g) *
** (Equivalent to 1,500mg of Psyllium Husk, Acacia and Inulin)
30mg (0.03g) *
1500 MG</x:v>
      </x:c>
      <x:c r="F85" s="131" t="str">
        <x:v>Serving Size: 3 Capsules
Servings Per Container: 80
Serving Size: 3 Capsules
Servings Per Container: 80
Psyllium Husk Powder(Hulls) 1.395mg (1.39g) *
Inulin (Chicory Root) 75mg (0.07g) *
Acacia (Acacia Senegal)
** (Equivalent to 1,500mg of Psyllium Husk, Acacia and Inulin)
30mg (0.03g) *
Dietary Supplement
NO
STARCH CORN EGGS LACTOSE GLUTEN 
WHEAT YEAST SOY ARTIFICIAL COLORS AND 
FLAVORS SUGAR PRESERVATIVES
•
• • •
• •
• •
•
NON-GMO
850054045225 - NEW PSYLLIUM HUSK
Psyllium Husk
WITH ACACIA &amp; INULIN
Traditional Herb
VEGAN
CAPSULES
+1 (917)908-1328
HEALTHFAREGROUP
HEALTHFARE</x:v>
      </x:c>
      <x:c r="G85" s="131" t="str">
        <x:v>ES: Rice Flour, Capsule (Hypromellose, Water),</x:v>
      </x:c>
      <x:c r="H85" s="131" t="str">
        <x:v>Take three (3) capsules daily,</x:v>
      </x:c>
      <x:c r="I85" s="131" t="str">
        <x:v>Psyllium Husk\Mockup &amp; Label\Psyllium Husk - Impressão.pdf</x:v>
      </x:c>
      <x:c r="J85" s="131" t="str"/>
    </x:row>
    <x:row r="86" ht="120" customHeight="1">
      <x:c r="A86" s="131" t="str">
        <x:v>Pygeum</x:v>
      </x:c>
      <x:c r="B86" s="131" t="str">
        <x:v>Pygeum</x:v>
      </x:c>
      <x:c r="C86" s="131" t="str">
        <x:v>2 Capsules</x:v>
      </x:c>
      <x:c r="D86" s="132" t="n">
        <x:v>120</x:v>
      </x:c>
      <x:c r="E86" s="131" t="str">
        <x:v>** (10:1 extract, equivalent to 4,500mg of raw
450mg (0.4g) *</x:v>
      </x:c>
      <x:c r="F86" s="131" t="str">
        <x:v>Serving Size: 2 Capsules
Servings Per Container: 120
Serving Size: 2 Capsules
Servings Per Container: 120
THE COLOR OF THIS PRODUCT NATURALLY VARIES
BEST BY: 04/2029 | BATCH NO: 2012-24015600
+1 (917)908-1328
HEALTHFAREGROUP
HEALTHFARE</x:v>
      </x:c>
      <x:c r="G86" s="131" t="str">
        <x:v>ES: Rice Flour, Capsule (Hypromellose, Water),</x:v>
      </x:c>
      <x:c r="H86" s="131" t="str">
        <x:v>Take two (2) capsules daily, preferably</x:v>
      </x:c>
      <x:c r="I86" s="131" t="str">
        <x:v>Pygeum\Mockup &amp; Label\Pygeum -Impressão.ai</x:v>
      </x:c>
      <x:c r="J86" s="131" t="str">
        <x:v>Lote extraído de texto vetorial; confirmar visualmente antes de uso operacional.</x:v>
      </x:c>
    </x:row>
    <x:row r="87" ht="120" customHeight="1">
      <x:c r="A87" s="131" t="str">
        <x:v>Rhodiola Rosea</x:v>
      </x:c>
      <x:c r="B87" s="131" t="str">
        <x:v>Rhodiola Rosea</x:v>
      </x:c>
      <x:c r="C87" s="131" t="str">
        <x:v>1 Capsule</x:v>
      </x:c>
      <x:c r="D87" s="132" t="n">
        <x:v>90</x:v>
      </x:c>
      <x:c r="E87" s="131" t="str">
        <x:v>**(from 100mg of 10:1 Extract)
1.000mg (1g) *</x:v>
      </x:c>
      <x:c r="F87" s="131" t="str">
        <x:v>Serving Size: 1 Capsule
Servings Per Container: 90
Serving Size: 1 Capsule
Servings Per Container: 90
Amount Per Serving %Daily Value *
* Daily Value not established
Rhodiola Rosea 
 (Rhodiola rosea) (Root) 
**(from 100mg of 10:1 Extract)
1.000mg (1g) *
NO
STARCH CORN EGGS LACTOSE GLUTEN 
WHEAT YEAST SOY ARTIFICIAL COLORS AND 
FLAVORS SUGAR PRESERVATIVES
•
• • •
• •
• •
•
NON-GMO
THE COLOR OF THIS PRODUCT NATURALLY VARIES
LOQAOM400X - NEW RHODIOLA ROSEA
* These statements have not been evaluated by the Food and Drug 
Administration. This product is not intended to diagnose, treat, 
cure, or prevent any disease.
Dietary Supplement
Non-GMO
Non-GMO
Gluten-Free Gluten-Free
90 CAPS1000 MG
Per Serving
RHODIOLA
VEGAN
CAPSULES
Traditional Herb
+1 (917)908-1328
HEALTHFAREGROUP
HEALTHFARE</x:v>
      </x:c>
      <x:c r="G87" s="131" t="str">
        <x:v>Rice Flour, Capsule (Hypromellose,</x:v>
      </x:c>
      <x:c r="H87" s="131" t="str">
        <x:v>Take one (1) capsule daily, preferably</x:v>
      </x:c>
      <x:c r="I87" s="131" t="str">
        <x:v>Rhodiola Rosea\Mockup &amp; Label\Rhodiola Rosea  - Listing.ai</x:v>
      </x:c>
      <x:c r="J87" s="131" t="str">
        <x:v>Lote extraído de texto vetorial; confirmar visualmente antes de uso operacional.</x:v>
      </x:c>
    </x:row>
    <x:row r="88" ht="120" customHeight="1">
      <x:c r="A88" s="131" t="str">
        <x:v>Rutin</x:v>
      </x:c>
      <x:c r="B88" s="131" t="str">
        <x:v>Rutin</x:v>
      </x:c>
      <x:c r="C88" s="131" t="str">
        <x:v>1 Capsule</x:v>
      </x:c>
      <x:c r="D88" s="132" t="n">
        <x:v>200</x:v>
      </x:c>
      <x:c r="E88" s="131" t="str">
        <x:v>300 MG
** (20:1 extract, equivalent to 500mg of raw
25mg (0.02g) *
500 MG</x:v>
      </x:c>
      <x:c r="F88" s="131" t="str">
        <x:v>Serving Size: 1 Capsule
Servings Per Container: 200
Serving Size: 1 Capsule
Servings Per Container: 200
Rutin Extract
 (Sophora Japonica) (Whole Flower Bud)
** (20:1 extract, equivalent to 500mg of raw
 Rutin)
25mg (0.02g) *
Dietary Supplement
NO
STARCH CORN EGGS LACTOSE GLUTEN 
WHEAT YEAST SOY ARTIFICIAL COLORS AND 
FLAVORS SUGAR PRESERVATIVES
•
• • •
• •
• •
•
NON-GMO
X0047U2D91 - NEW RUTIN
THE COLOR OF THIS PRODUCT NATURALLY VARIES
RUTIN
Traditional Herb
VEGAN
CAPSULES
+1 (917)908-1328
HEALTHFAREGROUP
HEALTHFARE</x:v>
      </x:c>
      <x:c r="G88" s="131" t="str">
        <x:v>ES: Rice Flour, Capsule (Hypromellose, Water),</x:v>
      </x:c>
      <x:c r="H88" s="131" t="str">
        <x:v>Take one (1) capsule daily,</x:v>
      </x:c>
      <x:c r="I88" s="131" t="str">
        <x:v>Rutin\Mockup &amp; Label\Rutin - Listing.ai</x:v>
      </x:c>
      <x:c r="J88" s="131" t="str">
        <x:v>Lote extraído de texto vetorial; confirmar visualmente antes de uso operacional.</x:v>
      </x:c>
    </x:row>
    <x:row r="89" ht="120" customHeight="1">
      <x:c r="A89" s="131" t="str">
        <x:v>Saw Palmetto</x:v>
      </x:c>
      <x:c r="B89" s="131" t="str">
        <x:v>Saw Palmetto</x:v>
      </x:c>
      <x:c r="C89" s="131" t="str">
        <x:v>1 Vegetarian Capsule</x:v>
      </x:c>
      <x:c r="D89" s="132" t="n">
        <x:v>150</x:v>
      </x:c>
      <x:c r="E89" s="131" t="str">
        <x:v>**(10:1 extract, equivalent to 4,000mg of raw
400mg (0.4g) *</x:v>
      </x:c>
      <x:c r="F89" s="131" t="str">
        <x:v>Serving Size: 1 Vegetarian Capsule
Servings Per Container: 150
Serving Size: 1 Vegetarian Capsule
Servings Per Container: 150
Saw Palmetto
Dietary Supplement Traditional Herb
Non-GMO Gluten-Free
150 CAPS4000 MG
NO
STARCH CORN EGGS LACTOSE GLUTEN 
WHEAT YEAST SOY ARTIFICIAL COLORS AND 
FLAVORS SUGAR PRESERVATIVES
•
• • •
• •
• •
•
NON-GMO
THE COLOR OF THIS PRODUCT NATURALLY VARIES
850031157606 - NEW SAW PALMETTO
VEGAN
CAPSULES
+1 (917)908-1328
HEALTHFAREGROUP
HEALTHFARE</x:v>
      </x:c>
      <x:c r="G89" s="131" t="str">
        <x:v>ES: Rice Flour, Capsule (Hypromellose, Water),</x:v>
      </x:c>
      <x:c r="H89" s="131" t="str">
        <x:v>Take one (1) capsule daily, preferably</x:v>
      </x:c>
      <x:c r="I89" s="131" t="str">
        <x:v>Saw Palmetto\Mockup &amp; Label\Saw Palmetto - Impressão.pdf</x:v>
      </x:c>
      <x:c r="J89" s="131" t="str"/>
    </x:row>
    <x:row r="90" ht="120" customHeight="1">
      <x:c r="A90" s="131" t="str">
        <x:v>Stinging Nettle</x:v>
      </x:c>
      <x:c r="B90" s="131" t="str">
        <x:v>Stinging Nettle</x:v>
      </x:c>
      <x:c r="C90" s="131" t="str">
        <x:v>2 Capsules</x:v>
      </x:c>
      <x:c r="D90" s="132" t="n">
        <x:v>100</x:v>
      </x:c>
      <x:c r="E90" s="131" t="str">
        <x:v>750mg (0.75g) *
** (10:1 extract, equivalent to 7,500mg of raw
7500 MG</x:v>
      </x:c>
      <x:c r="F90" s="131" t="str">
        <x:v>Serving Size: 2 Capsules
Servings Per Container: 100
Serving Size: 2 Capsules
Servings Per Container: 100
** (10:1 extract, equivalent to 7,500mg of raw 
 Stinging Nettle)
200 CAPS
Non-GMO Gluten-Free
7500 MG
Per Serving
NO
STARCH CORN EGGS LACTOSE GLUTEN 
WHEAT YEAST SOY ARTIFICIAL COLORS AND 
FLAVORS SUGAR PRESERVATIVES
•
• • •
• •
• •
•
NON-GMO
stinging 
nettle
ULTRA CONCENTRATED*
THE COLOR OF THIS PRODUCT NATURALLY VARIES
X003BOD1GX - NEW STINGING NETTLE
VEGAN
CAPSULES
+1 (917)908-1328
HEALTHFAREGROUP
HEALTHFARE</x:v>
      </x:c>
      <x:c r="G90" s="131" t="str">
        <x:v>ES: Rice Flour, Capsule (Hypromellose, Water),</x:v>
      </x:c>
      <x:c r="H90" s="131" t="str">
        <x:v>Take two (2) capsules daily, preferably</x:v>
      </x:c>
      <x:c r="I90" s="131" t="str">
        <x:v>Stinging Nettle\Mockup &amp; Label\Stinging Nettle - Impressão.ai</x:v>
      </x:c>
      <x:c r="J90" s="131" t="str">
        <x:v>Lote extraído de texto vetorial; confirmar visualmente antes de uso operacional.</x:v>
      </x:c>
    </x:row>
    <x:row r="91" ht="120" customHeight="1">
      <x:c r="A91" s="131" t="str">
        <x:v>Tribulus Terrestris</x:v>
      </x:c>
      <x:c r="B91" s="131" t="str">
        <x:v>Tribulus Terrestris</x:v>
      </x:c>
      <x:c r="C91" s="131" t="str">
        <x:v>3 Capsules</x:v>
      </x:c>
      <x:c r="D91" s="132" t="n">
        <x:v>66</x:v>
      </x:c>
      <x:c r="E91" s="131" t="str">
        <x:v>**(50:1 extract, equivalent to 32,500mg of raw
650mg (0.65g) *</x:v>
      </x:c>
      <x:c r="F91" s="131" t="str">
        <x:v>Serving Size: 3 Capsules
Servings Per Container: 66
Serving Size: 3 Capsules
Servings Per Container: 66
THE COLOR OF THIS PRODUCT NATURALLY VARIES
VEGAN
CAPSULES
X0042E1FZF - NEW TRIBULUS TERRESTRIS
BEST BY: 06/2029 | BATCH NO: 04202473
+1 (917)908-1328
HEALTHFAREGROUP
HEALTHFARE</x:v>
      </x:c>
      <x:c r="G91" s="131" t="str">
        <x:v>ES: Rice Flour, Capsule (Hypromellose, Water),</x:v>
      </x:c>
      <x:c r="H91" s="131" t="str">
        <x:v>Take Three (3) capsules daily,</x:v>
      </x:c>
      <x:c r="I91" s="131" t="str">
        <x:v>Tribulus Terrestris\Mockup &amp; Label\Tribulus Terrestris 32500mg - Impressão.ai</x:v>
      </x:c>
      <x:c r="J91" s="131" t="str">
        <x:v>Lote extraído de texto vetorial; confirmar visualmente antes de uso operacional.</x:v>
      </x:c>
    </x:row>
    <x:row r="92" ht="120" customHeight="1">
      <x:c r="A92" s="131" t="str">
        <x:v>Turkesterone with Tongkat ali</x:v>
      </x:c>
      <x:c r="B92" s="131" t="str">
        <x:v>Turkesterone with Tongkat ali</x:v>
      </x:c>
      <x:c r="C92" s="131" t="str">
        <x:v>3 Capsules</x:v>
      </x:c>
      <x:c r="D92" s="132" t="n">
        <x:v>50</x:v>
      </x:c>
      <x:c r="E92" s="131" t="str">
        <x:v>** (10:1 extract, equivalent to 10,000mg of raw
1.000 mg (1g)
** (200:1 extract, equivalent to 100,000 mg of raw Tongkat Ali)
500 mg (0.5g)
10 mg
110.000 MG</x:v>
      </x:c>
      <x:c r="F92" s="131" t="str">
        <x:v>Serving Size: 3 Capsules
Servings Per Container: 50
Serving Size: 3 Capsules
Servings Per Container: 50
Tongkat Ali Extract
 (Eurycoma longifolia) (Root) 
 ** (200:1 extract, equivalent to 100,000 mg of raw Tongkat Ali)
 500 mg (0.5g)
Black Pepper Extract
 (Piper Nigrum) (Fruit)
 (Standardized to contain 95% Piperine) 
10 mg
*
*
*
Dietary Supplement
NO
STARCH CORN EGGS LACTOSE GLUTEN 
WHEAT YEAST SOY ARTIFICIAL COLORS AND 
FLAVORS SUGAR PRESERVATIVES
•
• • •
• •
• •
•
NON-GMO
X004MOAQ37 - NEW TURKESTERONE
150 CAPS
Non-GMO
Non-GMO
Gluten-Free Gluten-Free
110.000 MG
TONGKAT ALI
TURKESTERONE
VEGAN
CAPSULES
+1 (917)908-1328
HEALTHFAREGROUP
HEALTHFARE</x:v>
      </x:c>
      <x:c r="G92" s="131" t="str">
        <x:v>ES: Rice Flour, Capsule (Hypromellose, Water),</x:v>
      </x:c>
      <x:c r="H92" s="131" t="str">
        <x:v>Take three (3) capsules daily,</x:v>
      </x:c>
      <x:c r="I92" s="131" t="str">
        <x:v>Turkesterone with Tongkat ali\Mockup &amp; Label\Turkesterone with Tongkat ali - Impressão.ai</x:v>
      </x:c>
      <x:c r="J92" s="131" t="str">
        <x:v>Lote extraído de texto vetorial; confirmar visualmente antes de uso operacional.</x:v>
      </x:c>
    </x:row>
    <x:row r="93" ht="120" customHeight="1">
      <x:c r="A93" s="131" t="str">
        <x:v>HOLD - NÃO IMPRIMIR</x:v>
      </x:c>
      <x:c r="B93" s="131" t="str">
        <x:v>Urolithin A</x:v>
      </x:c>
      <x:c r="C93" s="131" t="str">
        <x:v>3 Capsules</x:v>
      </x:c>
      <x:c r="D93" s="132" t="n">
        <x:v>40</x:v>
      </x:c>
      <x:c r="E93" s="131" t="str">
        <x:v>Urolithin A 1.000mg (1g) *
1000 MG</x:v>
      </x:c>
      <x:c r="F93" s="131" t="str">
        <x:v>Serving Size: 3 Capsules
Servings Per Container: 40
Serving Size: 3 Capsules
Servings Per Container: 40
Dietary Supplement
1000 MG
Per Serving
120 CAPS
Non-GMO Gluten-Free
NO
STARCH CORN EGGS LACTOSE GLUTEN 
WHEAT YEAST SOY ARTIFICIAL COLORS AND 
FLAVORS SUGAR PRESERVATIVES
•
• • •
• •
• •
•
NON-GMO
850054045560 - NEW UROLITHIN A
VEGAN
CAPSULES
+1 (917)908-1328
HEALTHFAREGROUP
HEALTHFARE</x:v>
      </x:c>
      <x:c r="G93" s="131" t="str">
        <x:v>Rice Flour, Capsule (Hypromellose,</x:v>
      </x:c>
      <x:c r="H93" s="131" t="str">
        <x:v>Take three (3) capsules daily, preferably</x:v>
      </x:c>
      <x:c r="I93" s="131" t="str">
        <x:v>Urolithin A\HOLD - NÃO IMPRIMIR\Mockup &amp; Label\Urolithin A 120 Caps - Impressão.pdf</x:v>
      </x:c>
      <x:c r="J93" s="131" t="str">
        <x:v>Pasta explicitamente marcada como não imprimir.</x:v>
      </x:c>
    </x:row>
    <x:row r="94" ht="120" customHeight="1">
      <x:c r="A94" s="131" t="str">
        <x:v>Urolithin A 1000mg, 150 Caps</x:v>
      </x:c>
      <x:c r="B94" s="131" t="str">
        <x:v>Urolithin A</x:v>
      </x:c>
      <x:c r="C94" s="131" t="str">
        <x:v>2 Capsules</x:v>
      </x:c>
      <x:c r="D94" s="132" t="n">
        <x:v>75</x:v>
      </x:c>
      <x:c r="E94" s="131" t="str">
        <x:v>**(20:1 extract, equivalent to 1,000mg of raw Urolithin A)
1.000mg (1g) *
1000 MG</x:v>
      </x:c>
      <x:c r="F94" s="131" t="str">
        <x:v>Serving Size: 2 Capsules
Servings Per Container: 75
Serving Size: 2 Capsules
Servings Per Container: 75
Dietary Supplement
1000 MG
Per Serving
150 CAPS
Non-GMO Gluten-Free
NO
STARCH CORN EGGS LACTOSE GLUTEN 
WHEAT YEAST SOY ARTIFICIAL COLORS AND 
FLAVORS SUGAR PRESERVATIVES
•
• • •
• •
• •
•
NON-GMO
X0055Z594N - N EW UROL ITHIN A
VEGAN
C APS ULE S
+1 (917)908-1328
HEALTHFAREG ROU P
HEALTHFAR E
Manuf actured For:
 Heal thFare
1500 W Cypress Creek 
Fort Lauderdal e, FL 33309
www.h eal thf aregro up.c om
PRODUCED AND QUALITY TESTED IN THE 
USA USING GLOBALLY SOURCED INGREDIENTS.
GMPGOOD MANUFACTURING PRACTICE
C E R T I F I E D
STORE THIS PRODUCT IN A COOL AND DRY PLACE
THIRD PARTY TESTED*
MITO CHO NDRIAL SUPPORT
◊ *
Uro lithin a</x:v>
      </x:c>
      <x:c r="G94" s="131" t="str">
        <x:v>Rice Flour, Capsule (Hypromellose,</x:v>
      </x:c>
      <x:c r="H94" s="131" t="str">
        <x:v>Take two (2) capsules daily, preferably</x:v>
      </x:c>
      <x:c r="I94" s="131" t="str">
        <x:v>Urolithin A\Urolithin A 1000mg, 150 Caps\Mockup &amp; Label\Urolithin A - Impressão.pdf</x:v>
      </x:c>
      <x:c r="J94" s="131" t="str"/>
    </x:row>
    <x:row r="95" ht="120" customHeight="1">
      <x:c r="A95" s="131" t="str">
        <x:v>Valerian Root</x:v>
      </x:c>
      <x:c r="B95" s="131" t="str">
        <x:v>Valerian Root</x:v>
      </x:c>
      <x:c r="C95" s="131" t="str">
        <x:v>2 Capsules</x:v>
      </x:c>
      <x:c r="D95" s="132" t="n">
        <x:v>120</x:v>
      </x:c>
      <x:c r="E95" s="131" t="str">
        <x:v>750mg (0.75g) *
**(4:1 extract, equivalent to 3,000mg of raw
3000 MG 240 CAPS</x:v>
      </x:c>
      <x:c r="F95" s="131" t="str">
        <x:v>Serving Size: 2 Capsules
Servings Per Container: 120
NO
STARCH CORN EGGS LACTOSE GLUTEN 
WHEAT YEAST SOY ARTIFICIAL COLORS AND 
FLAVORS SUGAR PRESERVATIVES
•
• • •
• •
• •
•
NON-GMO
THE COLOR OF THIS PRODUCT NATURALLY VARIES
BEST BY: 02/2029 | BATCH NO: 2004-24015600
X003C1DC23 - NEW VALERIAN ROOT
VEGAN
CAPSULES
3000 MG 240 CAPS
Non-GMO Gluten-FreePer Serving
+1 (917)908-1328
HEALTHFAREGROUP
HEALTHFARE</x:v>
      </x:c>
      <x:c r="G95" s="131" t="str">
        <x:v>ES: Rice Flour, Capsule (Hypromellose, Water),</x:v>
      </x:c>
      <x:c r="H95" s="131" t="str">
        <x:v>Adults take two (2) capsules,</x:v>
      </x:c>
      <x:c r="I95" s="131" t="str">
        <x:v>Valerian Root\Mockup &amp; Label\Valerian Root - Impressão.ai</x:v>
      </x:c>
      <x:c r="J95" s="131" t="str">
        <x:v>Lote extraído de texto vetorial; confirmar visualmente antes de uso operacional.</x:v>
      </x:c>
    </x:row>
    <x:row r="96" ht="120" customHeight="1">
      <x:c r="A96" s="131" t="str">
        <x:v>Vitamin B1 100mg 60capsules</x:v>
      </x:c>
      <x:c r="B96" s="131" t="str">
        <x:v>Vitamin B1</x:v>
      </x:c>
      <x:c r="C96" s="131" t="str">
        <x:v>1 Capsule</x:v>
      </x:c>
      <x:c r="D96" s="132" t="n">
        <x:v>60</x:v>
      </x:c>
      <x:c r="E96" s="131" t="str">
        <x:v>Vitamin B1 (Thiamine) 100mg 8333% *
100 MG 60 CAPS</x:v>
      </x:c>
      <x:c r="F96" s="131" t="str">
        <x:v>Serving Size: 1 Capsule
Servings Per Container: 60
Serving Size: 1 Capsule
Servings Per Container: 60
Amount Per Serving % Daily Value*
Vitamin B1 (Thiamine) 100mg 8333% *
* Percent Daily Value (DV) is based on a 2,000 calorie diet.
NO
STARCH CORN EGGS LACTOSE GLUTEN 
WHEAT YEAST SOY ARTIFICIAL COLORS AND 
FLAVORS SUGAR PRESERVATIVES
•
• • •
• •
• •
•
NON-GMO
EXPIRATION DATE: 06/2029 | BATCH NO: 2040-6015600
STORE THIS PRODUCT IN A COOL AND DRY PLACE
850031157668 - NEW VITAMIN B1 60 CAPS
* These statements have not been evaluated by the Food and Dr ug 
Administration. This product is not intended to diagnose, treat, cure, 
or prevent any disease.
PRODUCED AND QUALITY TESTED IN THE 
USA USING GLOBALLY SOURCED INGREDIENTS.
100 MG 60 CAPS
Non-GMO Gluten-Free
Vitamin B1
VEGAN
CAPSULES
Dietary Supplement
+1 (917)908-1328
HEALTHFAREGROUP
HEALTHFARE</x:v>
      </x:c>
      <x:c r="G96" s="131" t="str">
        <x:v>Rice Flour, Capsule (Hypromellose,</x:v>
      </x:c>
      <x:c r="H96" s="131" t="str">
        <x:v>Take one (1) capsule daily,</x:v>
      </x:c>
      <x:c r="I96" s="131" t="str">
        <x:v>Vitamin B1\Vitamin B1 100mg 60capsules\Mockup &amp; Label\Vitamin B1 - Listing.ai</x:v>
      </x:c>
      <x:c r="J96" s="131" t="str">
        <x:v>Lote extraído de texto vetorial; confirmar visualmente antes de uso operacional.</x:v>
      </x:c>
    </x:row>
    <x:row r="97" ht="120" customHeight="1">
      <x:c r="A97" s="131" t="str">
        <x:v>Vitamin B1 500mg 200capsules</x:v>
      </x:c>
      <x:c r="B97" s="131" t="str">
        <x:v>Vitamin B1</x:v>
      </x:c>
      <x:c r="C97" s="131" t="str">
        <x:v>2 capsules</x:v>
      </x:c>
      <x:c r="D97" s="132" t="n">
        <x:v>100</x:v>
      </x:c>
      <x:c r="E97" s="131" t="str">
        <x:v>Vitamin B1 (Thiamine) 500mg 41670% *</x:v>
      </x:c>
      <x:c r="F97" s="131" t="str">
        <x:v>Serving Size: 2 capsules
Servings Per Container: 100
Serving Size: 2 capsules
Servings Per Container: 100
NO
STARCH CORN EGGS LACTOSE GLUTEN 
WHEAT YEAST SOY ARTIFICIAL COLORS AND 
FLAVORS SUGAR PRESERVATIVES
•
• • •
• •
• •
•
NON-GMO
STORE THIS PRODUCT IN A COOL AND DRY PLACE
OTHER INGREDIENTES: Rice Flour, Capsule (Hypromellose, Water), 
Magnesium Stearate (Vegetable Source).
X0042ECED7 - NEW VITAMIN B1 200 CAPS
Non-GMO Gluten-Free
200 CAPS500 MG
Per Serving
+1 (917)908-1328
HEALTHFAREGROUP
HEALTHFARE</x:v>
      </x:c>
      <x:c r="G97" s="131" t="str">
        <x:v>ES: Rice Flour, Capsule (Hypromellose, Water),</x:v>
      </x:c>
      <x:c r="H97" s="131" t="str">
        <x:v>Take two (2) capsules daily,</x:v>
      </x:c>
      <x:c r="I97" s="131" t="str">
        <x:v>Vitamin B1\Vitamin B1 500mg 200capsules\Mockup &amp; Label\Vitamin B1 500mg -Impressão.ai</x:v>
      </x:c>
      <x:c r="J97" s="131" t="str">
        <x:v>Lote extraído de texto vetorial; confirmar visualmente antes de uso operacional.</x:v>
      </x:c>
    </x:row>
    <x:row r="98" ht="120" customHeight="1">
      <x:c r="A98" s="131" t="str">
        <x:v>Vitamin B12 5000mcg 240 Tablets</x:v>
      </x:c>
      <x:c r="B98" s="131" t="str">
        <x:v>Vitamin B12 5000mcg 240 Tablets</x:v>
      </x:c>
      <x:c r="C98" s="131" t="str">
        <x:v>1 Tablet</x:v>
      </x:c>
      <x:c r="D98" s="132" t="n">
        <x:v>240</x:v>
      </x:c>
      <x:c r="E98" s="131" t="str">
        <x:v>5000 MCG 240 TABS
5.000mcg 208,333%</x:v>
      </x:c>
      <x:c r="F98" s="131" t="str">
        <x:v>Serving Size: 1 Tablet
Servings Per Container: 240
Serving Size: 1 Tablet
Servings Per Container: 240
NO
STARCH CORN EGGS LACTOSE GLUTEN 
WHEAT YEAST SOY ARTIFICIAL COLORS AND 
FLAVORS SUGAR PRESERVATIVES
•
• • •
• •
• •
•
NON-GMO
THE COLOR OF THIS PRODUCT NATURALLY VARIES
PRODUCED AND QUALITY TESTED IN THE 
USA USING GLOBALLY SOURCED INGREDIENTS.
STORE THIS PRODUCT IN A COOL AND DRY PLACE
THIRD PARTY TESTED*
vitamin b12
Methylcobalamin
VEGAN
TABLETS
FAST DISSOLVE TABLETS
GMPGOOD MANUFACTURING PRACTICE
C E R T I F I E D
BEST BY: 04/2029 | BATCH NO: BR-2026-0295</x:v>
      </x:c>
      <x:c r="G98" s="131" t="str">
        <x:v>Microcrystalline Cellulose, Dicalcium Phosphate,</x:v>
      </x:c>
      <x:c r="H98" s="131" t="str">
        <x:v>Take one (1) tablet daily, preferably with</x:v>
      </x:c>
      <x:c r="I98" s="131" t="str">
        <x:v>Vitamin B12 5000mcg 240 Tablets\Mockup &amp; Label\Vitamin B12  - Impressão.pdf</x:v>
      </x:c>
      <x:c r="J98" s="131" t="str"/>
    </x:row>
    <x:row r="99" ht="120" customHeight="1">
      <x:c r="A99" s="131" t="str">
        <x:v>Vitamin B2 400mg 180caps</x:v>
      </x:c>
      <x:c r="B99" s="131" t="str">
        <x:v>Vitamin B2</x:v>
      </x:c>
      <x:c r="C99" s="131" t="str">
        <x:v>1 Capsule</x:v>
      </x:c>
      <x:c r="D99" s="132" t="n">
        <x:v>180</x:v>
      </x:c>
      <x:c r="E99" s="131" t="str">
        <x:v>Vitamin B2 400mg (0.40g)
400 MG</x:v>
      </x:c>
      <x:c r="F99" s="131" t="str">
        <x:v>Serving Size: 1 Capsule
Servings Per Container: 180
Dietary Supplement
CAUTION! Consult your doctor before use if you are 
pregnant, nursing, taking any medications, or have any 
medical conditions. Do not exceed the recommended 
dosage. Excessive intake may cause adverse effects such as 
abdominal cramps and/or diarrhea. If any adverse 
reactions occur, immediately stop using this product and 
consult your doctor. Do not use if the seal under the bottle 
cap is damaged or missing. Keep out of reach of children.
NO
STARCH CORN EGGS LACTOSE GLUTEN 
WHEAT YEAST SOY ARTIFICIAL COLORS AND 
FLAVORS SUGAR PRESERVATIVES
•
• • •
• •
• •
•
NON-GMO
850031157248 - NEW VITAMIN B2
VEGAN
CAPSULES
180 CAPS
Non-GMO Gluten-Free
400 MG
Per Serving
BEST BY: 06/2029 | BATCH NO: BR-2026-0211
+1 (917)908-1328
HEALTHFAREGROUP
HEALTHFARE</x:v>
      </x:c>
      <x:c r="G99" s="131" t="str">
        <x:v>ES: Rice Flour, Capsule (Hypromellose, Water),</x:v>
      </x:c>
      <x:c r="H99" s="131" t="str">
        <x:v>Take one (1) capsule daily, preferably</x:v>
      </x:c>
      <x:c r="I99" s="131" t="str">
        <x:v>Vitamin B2\Vitamin B2 400mg 180caps\Mockup &amp; Label\Vitamin B2 - Impressão.pdf</x:v>
      </x:c>
      <x:c r="J99" s="131" t="str"/>
    </x:row>
    <x:row r="100" ht="120" customHeight="1">
      <x:c r="A100" s="131" t="str">
        <x:v>White Kidney Bean</x:v>
      </x:c>
      <x:c r="B100" s="131" t="str">
        <x:v>White Kidney Bean</x:v>
      </x:c>
      <x:c r="C100" s="131" t="str">
        <x:v>1 Capsule</x:v>
      </x:c>
      <x:c r="D100" s="132" t="n">
        <x:v>240</x:v>
      </x:c>
      <x:c r="E100" s="131" t="str">
        <x:v>White Kidney Extract 375mg (0.37g) *
**(20:1 extract, equivalent to 7,500mg of raw</x:v>
      </x:c>
      <x:c r="F100" s="131" t="str">
        <x:v>Serving Size: 1 Capsule
Servings Per Container: 240
Dietary Supplement Traditional Herb
CAUTION! Consult your doctor before use if you are 
pregnant, nursing, taking any medications, or have any 
medical conditions. If any adverse reactions occur, 
immediately stop using this product and consult your doctor. 
Do not use if seal under bottle cap is damaged or missing. 
Keep out of reach of children. Store in a cool, dry place.
* These statements have not been evaluated by the Food 
and Drug Administration. This product is not intended to 
diagnose, treat, cure, or prevent any disease.
NO
STARCH CORN EGGS LACTOSE GLUTEN 
WHEAT YEAST SOY ARTIFICIAL COLORS AND 
FLAVORS SUGAR PRESERVATIVES
•
• • •
• •
• •
•
NON-GMO
VEGAN
CAPSULES
◊
850031157224 - NEW WHITE KIDNEY BEAN
BEST BY: 05/2029 | BATCH NO: BR-2026-0289
+1 (917)908-1328
HEALTHFAREGROUP
HEALTHFARE</x:v>
      </x:c>
      <x:c r="G100" s="131" t="str">
        <x:v>ES: Rice Flour, Capsule (Hypromellose, Water),</x:v>
      </x:c>
      <x:c r="H100" s="131" t="str">
        <x:v>Take (1) one capsule daily, before or</x:v>
      </x:c>
      <x:c r="I100" s="131" t="str">
        <x:v>White Kidney Bean\Mockup &amp; Label\White Kidney Bean - Impressão.pdf</x:v>
      </x:c>
      <x:c r="J100" s="131" t="str"/>
    </x:row>
    <x:row r="101" ht="120" customHeight="1">
      <x:c r="A101" s="131" t="str">
        <x:v>Yohimbine 10mg - 240 capsulas</x:v>
      </x:c>
      <x:c r="B101" s="131" t="str">
        <x:v>Yohimbine</x:v>
      </x:c>
      <x:c r="C101" s="131" t="str">
        <x:v>2 Capsules</x:v>
      </x:c>
      <x:c r="D101" s="132" t="n">
        <x:v>120</x:v>
      </x:c>
      <x:c r="E101" s="131" t="str">
        <x:v>Yohimbine HCL 10mg *
10 MG</x:v>
      </x:c>
      <x:c r="F101" s="131" t="str">
        <x:v>Serving Size: 2 Capsules
Servings Per Container: 120
Serving Size: 2 Capsules
Servings Per Container: 120
Dietary Supplement
10 MG
Per Serving
240 CAPS
Non-GMO Gluten-Free
NO
STARCH CORN EGGS LACTOSE GLUTEN 
WHEAT YEAST SOY ARTIFICIAL COLORS AND 
FLAVORS SUGAR PRESERVATIVES
•
• • •
• •
• •
•
NON-GMO
yohimbine
INCREASE ENERGY
*
X003R01KX7 - NEW YOHIMBINE
VEGAN
CAPSULES
+1 (917)908-1328
HEALTHFAREGROUP
HEALTHFARE</x:v>
      </x:c>
      <x:c r="G101" s="131" t="str">
        <x:v>ES: Rice Flour, Capsule (Hypromellose, Water),</x:v>
      </x:c>
      <x:c r="H101" s="131" t="str">
        <x:v>Take two (2) capsules daily, preferably</x:v>
      </x:c>
      <x:c r="I101" s="131" t="str">
        <x:v>Yohimbine\Yohimbine 10mg - 240 capsulas\Mockup &amp; Label\Yohimbine - Listing.ai</x:v>
      </x:c>
      <x:c r="J101" s="131" t="str">
        <x:v>Lote extraído de texto vetorial; confirmar visualmente antes de uso operacional.</x:v>
      </x:c>
    </x:row>
    <x:row r="102" ht="120" customHeight="1">
      <x:c r="A102" s="131" t="str">
        <x:v>Yohimbine 5mg - 240 capsulas</x:v>
      </x:c>
      <x:c r="B102" s="131" t="str">
        <x:v>Yohimbine</x:v>
      </x:c>
      <x:c r="C102" s="131" t="str">
        <x:v>2 Capsules</x:v>
      </x:c>
      <x:c r="D102" s="132" t="n">
        <x:v>120</x:v>
      </x:c>
      <x:c r="E102" s="131" t="str">
        <x:v>Yohimbine HCL 5 mg *
5 MG
X004Z8R8Q3 - NEW YOHIMBINE 5MG</x:v>
      </x:c>
      <x:c r="F102" s="131" t="str">
        <x:v>Serving Size: 2 Capsules
Servings Per Container: 120
Serving Size: 2 Capsules
Servings Per Container: 120
Dietary Supplement
5 MG
Per Serving
240 CAPS
Non-GMO Gluten-Free
NO
STARCH CORN EGGS LACTOSE GLUTEN 
WHEAT YEAST SOY ARTIFICIAL COLORS AND 
FLAVORS SUGAR PRESERVATIVES
•
• • •
• •
• •
•
NON-GMO
yohimbine
INCREASE ENERGY
*
X004Z8R8Q3 - NEW YOHIMBINE 5MG
VEGAN
CAPSULES
+1 (917)908-1328
HEALTHFAREGROUP
HEALTHFARE</x:v>
      </x:c>
      <x:c r="G102" s="131" t="str">
        <x:v>ES: Rice Flour, Capsule (Hypromellose, Water),</x:v>
      </x:c>
      <x:c r="H102" s="131" t="str">
        <x:v>Take two (2) capsules daily, preferably</x:v>
      </x:c>
      <x:c r="I102" s="131" t="str">
        <x:v>Yohimbine\Yohimbine 5mg - 240 capsulas\Mockup &amp; Label\Yohimbine 5mg - Impressão.pdf</x:v>
      </x:c>
      <x:c r="J102" s="131" t="str">
        <x:v>Lote extraído de texto vetorial; confirmar visualmente antes de uso operacional.</x:v>
      </x:c>
    </x:row>
  </x:sheetData>
  <x:mergeCells>
    <x:mergeCell ref="A1:J1"/>
    <x:mergeCell ref="A2:J2"/>
  </x:mergeCells>
  <x:pageMargins left="0.7" right="0.7" top="0.75" bottom="0.75" header="0.3" footer="0.3"/>
  <x:tableParts count="1">
    <x:tablePart xmlns:r="http://schemas.openxmlformats.org/officeDocument/2006/relationships" r:id="R9867c719285f4b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8" hidden="0" customWidth="1"/>
    <x:col min="4" max="4" width="18" hidden="0" customWidth="1"/>
    <x:col min="5" max="5" width="72" hidden="0" customWidth="1"/>
    <x:col min="6" max="6" width="55" hidden="0" customWidth="1"/>
  </x:cols>
  <x:sheetData>
    <x:row r="1" ht="34" customHeight="1">
      <x:c r="A1" s="3" t="str">
        <x:v>COAs de Matéria-Prima</x:v>
      </x:c>
      <x:c r="B1" s="3"/>
      <x:c r="C1" s="3"/>
      <x:c r="D1" s="3"/>
      <x:c r="E1" s="3"/>
      <x:c r="F1" s="3"/>
    </x:row>
    <x:row r="2" ht="28" customHeight="1">
      <x:c r="A2" s="6" t="str">
        <x:v>Datas e lotes de ingredientes/matérias-primas. Não usar esta aba como validade do suplemento acabado.</x:v>
      </x:c>
      <x:c r="B2" s="6"/>
      <x:c r="C2" s="6"/>
      <x:c r="D2" s="6"/>
      <x:c r="E2" s="6"/>
      <x:c r="F2" s="6"/>
    </x:row>
    <x:row r="4">
      <x:c r="A4" t="str">
        <x:v>Matéria-prima</x:v>
      </x:c>
      <x:c r="B4" t="str">
        <x:v>Lote</x:v>
      </x:c>
      <x:c r="C4" t="str">
        <x:v>Data de fabricação</x:v>
      </x:c>
      <x:c r="D4" t="str">
        <x:v>Data de expiração</x:v>
      </x:c>
      <x:c r="E4" t="str">
        <x:v>Fonte</x:v>
      </x:c>
      <x:c r="F4" t="str">
        <x:v>Observações</x:v>
      </x:c>
    </x:row>
    <x:row r="5" ht="48" customHeight="1">
      <x:c r="A5" s="136" t="str">
        <x:v>Activated Charcoal</x:v>
      </x:c>
      <x:c r="B5" s="136" t="str">
        <x:v>20260102</x:v>
      </x:c>
      <x:c r="C5" s="137" t="n">
        <x:v>46024</x:v>
      </x:c>
      <x:c r="D5" s="137" t="n">
        <x:v>47119</x:v>
      </x:c>
      <x:c r="E5" s="136" t="str">
        <x:v>Activated Charcoal\COA of Activated Charcoal.pdf</x:v>
      </x:c>
      <x:c r="F5" s="138" t="str">
        <x:v>COA de matéria-prima; não substituir pela validade do suplemento acabado.</x:v>
      </x:c>
    </x:row>
    <x:row r="6" ht="48" customHeight="1">
      <x:c r="A6" s="136" t="str">
        <x:v>Apple Cider Vinegar</x:v>
      </x:c>
      <x:c r="B6" s="136" t="str">
        <x:v>PGC260103</x:v>
      </x:c>
      <x:c r="C6" s="137" t="n">
        <x:v>46025</x:v>
      </x:c>
      <x:c r="D6" s="137" t="n">
        <x:v>47120</x:v>
      </x:c>
      <x:c r="E6" s="136" t="str">
        <x:v>Apple Cider Vinegar\COA of Apple Cider Vinegar PDF.pdf</x:v>
      </x:c>
      <x:c r="F6" s="138" t="str">
        <x:v>COA de matéria-prima; não substituir pela validade do suplemento acabado.</x:v>
      </x:c>
    </x:row>
    <x:row r="7" ht="48" customHeight="1">
      <x:c r="A7" s="136" t="str">
        <x:v>Beet Root</x:v>
      </x:c>
      <x:c r="B7" s="136" t="str">
        <x:v>TC260106</x:v>
      </x:c>
      <x:c r="C7" s="137" t="n">
        <x:v>46028</x:v>
      </x:c>
      <x:c r="D7" s="137" t="n">
        <x:v>47123</x:v>
      </x:c>
      <x:c r="E7" s="136" t="str">
        <x:v>Beet Root\Coa Beet Root PDF.pdf</x:v>
      </x:c>
      <x:c r="F7" s="138" t="str">
        <x:v>COA de matéria-prima; não substituir pela validade do suplemento acabado.</x:v>
      </x:c>
    </x:row>
    <x:row r="8" ht="48" customHeight="1">
      <x:c r="A8" s="136" t="str">
        <x:v>Benfotiamine</x:v>
      </x:c>
      <x:c r="B8" s="136" t="str">
        <x:v>20260129</x:v>
      </x:c>
      <x:c r="C8" s="137" t="n">
        <x:v>46051</x:v>
      </x:c>
      <x:c r="D8" s="137" t="n">
        <x:v>47146</x:v>
      </x:c>
      <x:c r="E8" s="136" t="str">
        <x:v>Benfotiamine\COA of Benafotiamine PDF.pdf</x:v>
      </x:c>
      <x:c r="F8" s="138" t="str">
        <x:v>COA de matéria-prima; não substituir pela validade do suplemento acabado.</x:v>
      </x:c>
    </x:row>
    <x:row r="9" ht="48" customHeight="1">
      <x:c r="A9" s="136" t="str">
        <x:v>Berberine</x:v>
      </x:c>
      <x:c r="B9" s="136" t="str">
        <x:v>HLS260128</x:v>
      </x:c>
      <x:c r="C9" s="137" t="n">
        <x:v>46050</x:v>
      </x:c>
      <x:c r="D9" s="137" t="n">
        <x:v>47145</x:v>
      </x:c>
      <x:c r="E9" s="136" t="str">
        <x:v>Berberine\COA of Goldenseal Extract Berberine 5% PDF.pdf</x:v>
      </x:c>
      <x:c r="F9" s="138" t="str">
        <x:v>COA de matéria-prima; não substituir pela validade do suplemento acabado.</x:v>
      </x:c>
    </x:row>
    <x:row r="10" ht="48" customHeight="1">
      <x:c r="A10" s="136" t="str">
        <x:v>Bilberry</x:v>
      </x:c>
      <x:c r="B10" s="136" t="str">
        <x:v>YJ260110</x:v>
      </x:c>
      <x:c r="C10" s="137" t="n">
        <x:v>46032</x:v>
      </x:c>
      <x:c r="D10" s="137" t="n">
        <x:v>47127</x:v>
      </x:c>
      <x:c r="E10" s="136" t="str">
        <x:v>Bilberry\COA of Bilberry Extract PDF.pdf</x:v>
      </x:c>
      <x:c r="F10" s="138" t="str">
        <x:v>COA de matéria-prima; não substituir pela validade do suplemento acabado.</x:v>
      </x:c>
    </x:row>
    <x:row r="11" ht="48" customHeight="1">
      <x:c r="A11" s="136" t="str">
        <x:v>Bilberry</x:v>
      </x:c>
      <x:c r="B11" s="136" t="str">
        <x:v>20260114</x:v>
      </x:c>
      <x:c r="C11" s="137" t="n">
        <x:v>46036</x:v>
      </x:c>
      <x:c r="D11" s="137" t="n">
        <x:v>47132</x:v>
      </x:c>
      <x:c r="E11" s="136" t="str">
        <x:v>Bilberry\COA of Bilberry PDF.pdf</x:v>
      </x:c>
      <x:c r="F11" s="138" t="str">
        <x:v>COA de matéria-prima; não substituir pela validade do suplemento acabado.</x:v>
      </x:c>
    </x:row>
    <x:row r="12" ht="48" customHeight="1">
      <x:c r="A12" s="136" t="str">
        <x:v>Bitter Melon</x:v>
      </x:c>
      <x:c r="B12" s="136" t="str">
        <x:v>KG251127</x:v>
      </x:c>
      <x:c r="C12" s="137" t="n">
        <x:v>45988</x:v>
      </x:c>
      <x:c r="D12" s="137" t="n">
        <x:v>47448</x:v>
      </x:c>
      <x:c r="E12" s="136" t="str">
        <x:v>Bitter Melon\Coa Bitter Melon PDF.pdf</x:v>
      </x:c>
      <x:c r="F12" s="138" t="str">
        <x:v>COA de matéria-prima; não substituir pela validade do suplemento acabado.</x:v>
      </x:c>
    </x:row>
    <x:row r="13" ht="48" customHeight="1">
      <x:c r="A13" s="136" t="str">
        <x:v>Cherry Powder</x:v>
      </x:c>
      <x:c r="B13" s="136" t="str">
        <x:v>YT260130</x:v>
      </x:c>
      <x:c r="C13" s="137" t="n">
        <x:v>46052</x:v>
      </x:c>
      <x:c r="D13" s="137" t="n">
        <x:v>47147</x:v>
      </x:c>
      <x:c r="E13" s="136" t="str">
        <x:v>Cherry Powder\COA of Cherry Powder PDF.pdf</x:v>
      </x:c>
      <x:c r="F13" s="138" t="str">
        <x:v>COA de matéria-prima; não substituir pela validade do suplemento acabado.</x:v>
      </x:c>
    </x:row>
    <x:row r="14" ht="48" customHeight="1">
      <x:c r="A14" s="136" t="str">
        <x:v>Citric Acid</x:v>
      </x:c>
      <x:c r="B14" s="136" t="str">
        <x:v>41000201</x:v>
      </x:c>
      <x:c r="C14" s="137" t="n">
        <x:v>46036</x:v>
      </x:c>
      <x:c r="D14" s="137" t="n">
        <x:v>47131</x:v>
      </x:c>
      <x:c r="E14" s="136" t="str">
        <x:v>Citric Acid\COA of Citric Acid Anhydrous PDF.pdf</x:v>
      </x:c>
      <x:c r="F14" s="138" t="str">
        <x:v>COA de matéria-prima; não substituir pela validade do suplemento acabado.</x:v>
      </x:c>
    </x:row>
    <x:row r="15" ht="48" customHeight="1">
      <x:c r="A15" s="136" t="str">
        <x:v>Dicalcium Phosphate Dihydrate Granular</x:v>
      </x:c>
      <x:c r="B15" s="136" t="str">
        <x:v>XD260130</x:v>
      </x:c>
      <x:c r="C15" s="137" t="n">
        <x:v>46052</x:v>
      </x:c>
      <x:c r="D15" s="137" t="n">
        <x:v>47147</x:v>
      </x:c>
      <x:c r="E15" s="136" t="str">
        <x:v>Dicalcium Phosphate Dihydrate Granular\COA of Dicalcium Phosphate Dihydrate Granular PDF.pdf</x:v>
      </x:c>
      <x:c r="F15" s="138" t="str">
        <x:v>COA de matéria-prima; não substituir pela validade do suplemento acabado.</x:v>
      </x:c>
    </x:row>
    <x:row r="16" ht="48" customHeight="1">
      <x:c r="A16" s="136" t="str">
        <x:v>Dicalcium Phosphate Dihydrate</x:v>
      </x:c>
      <x:c r="B16" s="136" t="str">
        <x:v>2651106</x:v>
      </x:c>
      <x:c r="C16" s="137" t="n">
        <x:v>47123</x:v>
      </x:c>
      <x:c r="D16" s="137"/>
      <x:c r="E16" s="136" t="str">
        <x:v>Dicalcium Phosphate Dihydrate\COA of Dicalcium Phosphate Dihydrate PDF.pdf</x:v>
      </x:c>
      <x:c r="F16" s="138" t="str">
        <x:v>COA de matéria-prima; não substituir pela validade do suplemento acabado.</x:v>
      </x:c>
    </x:row>
    <x:row r="17" ht="48" customHeight="1">
      <x:c r="A17" s="136" t="str">
        <x:v>Graviola</x:v>
      </x:c>
      <x:c r="B17" s="136" t="str">
        <x:v>GRA20260121</x:v>
      </x:c>
      <x:c r="C17" s="137" t="n">
        <x:v>46043</x:v>
      </x:c>
      <x:c r="D17" s="137" t="n">
        <x:v>47138</x:v>
      </x:c>
      <x:c r="E17" s="136" t="str">
        <x:v>Graviola\COA of Graviola Leaf Extract PDF.pdf</x:v>
      </x:c>
      <x:c r="F17" s="138" t="str">
        <x:v>COA de matéria-prima; não substituir pela validade do suplemento acabado.</x:v>
      </x:c>
    </x:row>
    <x:row r="18" ht="48" customHeight="1">
      <x:c r="A18" s="136" t="str">
        <x:v>Hawthorn</x:v>
      </x:c>
      <x:c r="B18" s="136" t="str">
        <x:v>SZ260119</x:v>
      </x:c>
      <x:c r="C18" s="137" t="n">
        <x:v>46041</x:v>
      </x:c>
      <x:c r="D18" s="137" t="n">
        <x:v>47136</x:v>
      </x:c>
      <x:c r="E18" s="136" t="str">
        <x:v>Hawthorn\Coa Hawthorn PDF.pdf</x:v>
      </x:c>
      <x:c r="F18" s="138" t="str">
        <x:v>COA de matéria-prima; não substituir pela validade do suplemento acabado.</x:v>
      </x:c>
    </x:row>
    <x:row r="19" ht="48" customHeight="1">
      <x:c r="A19" s="136" t="str">
        <x:v>Inulin</x:v>
      </x:c>
      <x:c r="B19" s="136" t="str">
        <x:v>JF260128</x:v>
      </x:c>
      <x:c r="C19" s="137" t="n">
        <x:v>46050</x:v>
      </x:c>
      <x:c r="D19" s="137" t="n">
        <x:v>47145</x:v>
      </x:c>
      <x:c r="E19" s="136" t="str">
        <x:v>Inulin\Coa Inulin PDF.pdf</x:v>
      </x:c>
      <x:c r="F19" s="138" t="str">
        <x:v>COA de matéria-prima; não substituir pela validade do suplemento acabado.</x:v>
      </x:c>
    </x:row>
    <x:row r="20" ht="48" customHeight="1">
      <x:c r="A20" s="136" t="str">
        <x:v>Magnesium Glycinate</x:v>
      </x:c>
      <x:c r="B20" s="136" t="str">
        <x:v>2026011801</x:v>
      </x:c>
      <x:c r="C20" s="137" t="n">
        <x:v>46040</x:v>
      </x:c>
      <x:c r="D20" s="137" t="n">
        <x:v>47135</x:v>
      </x:c>
      <x:c r="E20" s="136" t="str">
        <x:v>Magnesium Glycinate\COA of Magnesium Glycinate PDF.pdf</x:v>
      </x:c>
      <x:c r="F20" s="138" t="str">
        <x:v>COA de matéria-prima; não substituir pela validade do suplemento acabado.</x:v>
      </x:c>
    </x:row>
    <x:row r="21" ht="48" customHeight="1">
      <x:c r="A21" s="136" t="str">
        <x:v>Magnesium Malate</x:v>
      </x:c>
      <x:c r="B21" s="136" t="str">
        <x:v>26011009</x:v>
      </x:c>
      <x:c r="C21" s="137" t="n">
        <x:v>46052</x:v>
      </x:c>
      <x:c r="D21" s="137" t="n">
        <x:v>47147</x:v>
      </x:c>
      <x:c r="E21" s="136" t="str">
        <x:v>Magnesium Malate\COA of Magnesium Malate PDF.pdf</x:v>
      </x:c>
      <x:c r="F21" s="138" t="str">
        <x:v>COA de matéria-prima; não substituir pela validade do suplemento acabado.</x:v>
      </x:c>
    </x:row>
    <x:row r="22" ht="48" customHeight="1">
      <x:c r="A22" s="136" t="str">
        <x:v>Magnesium Oxide</x:v>
      </x:c>
      <x:c r="B22" s="136" t="str">
        <x:v>260118001</x:v>
      </x:c>
      <x:c r="C22" s="137" t="n">
        <x:v>46040</x:v>
      </x:c>
      <x:c r="D22" s="137" t="n">
        <x:v>47135</x:v>
      </x:c>
      <x:c r="E22" s="136" t="str">
        <x:v>Magnesium Oxide\COA of Magnesium Oxide PDF.pdf</x:v>
      </x:c>
      <x:c r="F22" s="138" t="str">
        <x:v>COA de matéria-prima; não substituir pela validade do suplemento acabado.</x:v>
      </x:c>
    </x:row>
    <x:row r="23" ht="48" customHeight="1">
      <x:c r="A23" s="136" t="str">
        <x:v>Magnesium Stearate</x:v>
      </x:c>
      <x:c r="B23" s="136" t="str">
        <x:v>MGS/26010666</x:v>
      </x:c>
      <x:c r="C23" s="137" t="n">
        <x:v>46053</x:v>
      </x:c>
      <x:c r="D23" s="137" t="n">
        <x:v>47148</x:v>
      </x:c>
      <x:c r="E23" s="136" t="str">
        <x:v>Magnesium Stearate\COA of Magnesium Stearate PDF.pdf</x:v>
      </x:c>
      <x:c r="F23" s="138" t="str">
        <x:v>COA de matéria-prima; não substituir pela validade do suplemento acabado.</x:v>
      </x:c>
    </x:row>
    <x:row r="24" ht="48" customHeight="1">
      <x:c r="A24" s="136" t="str">
        <x:v>Magnesium Taurinate</x:v>
      </x:c>
      <x:c r="B24" s="136" t="str">
        <x:v>012601A06</x:v>
      </x:c>
      <x:c r="C24" s="137" t="n">
        <x:v>46039</x:v>
      </x:c>
      <x:c r="D24" s="137" t="n">
        <x:v>47134</x:v>
      </x:c>
      <x:c r="E24" s="136" t="str">
        <x:v>Magnesium Taurinate\COA of Magnesium Taurinate PDF.pdf</x:v>
      </x:c>
      <x:c r="F24" s="138" t="str">
        <x:v>COA de matéria-prima; não substituir pela validade do suplemento acabado.</x:v>
      </x:c>
    </x:row>
    <x:row r="25" ht="48" customHeight="1">
      <x:c r="A25" s="136" t="str">
        <x:v>Mannitol</x:v>
      </x:c>
      <x:c r="B25" s="136" t="str">
        <x:v>H112601014</x:v>
      </x:c>
      <x:c r="C25" s="137" t="n">
        <x:v>46047</x:v>
      </x:c>
      <x:c r="D25" s="137" t="n">
        <x:v>47141</x:v>
      </x:c>
      <x:c r="E25" s="136" t="str">
        <x:v>Mannitol\COA of Mannitol PDF.pdf</x:v>
      </x:c>
      <x:c r="F25" s="138" t="str">
        <x:v>COA de matéria-prima; não substituir pela validade do suplemento acabado.</x:v>
      </x:c>
    </x:row>
    <x:row r="26" ht="48" customHeight="1">
      <x:c r="A26" s="136" t="str">
        <x:v>Melatonin</x:v>
      </x:c>
      <x:c r="B26" s="136" t="str">
        <x:v>MLTN-260103M</x:v>
      </x:c>
      <x:c r="C26" s="137" t="n">
        <x:v>46025</x:v>
      </x:c>
      <x:c r="D26" s="137" t="n">
        <x:v>47120</x:v>
      </x:c>
      <x:c r="E26" s="136" t="str">
        <x:v>Melatonin\COA of Melatonin PDF.pdf</x:v>
      </x:c>
      <x:c r="F26" s="138" t="str">
        <x:v>COA de matéria-prima; não substituir pela validade do suplemento acabado.</x:v>
      </x:c>
    </x:row>
    <x:row r="27" ht="48" customHeight="1">
      <x:c r="A27" s="136" t="str">
        <x:v>Microcrystalline Cellulose</x:v>
      </x:c>
      <x:c r="B27" s="136" t="str">
        <x:v>MCC260102</x:v>
      </x:c>
      <x:c r="C27" s="137" t="n">
        <x:v>46024</x:v>
      </x:c>
      <x:c r="D27" s="137" t="n">
        <x:v>47484</x:v>
      </x:c>
      <x:c r="E27" s="136" t="str">
        <x:v>Microcrystalline Cellulose\COA of Microcrystalline Cellulose PDF.pdf</x:v>
      </x:c>
      <x:c r="F27" s="138" t="str">
        <x:v>COA de matéria-prima; não substituir pela validade do suplemento acabado.</x:v>
      </x:c>
    </x:row>
    <x:row r="28" ht="48" customHeight="1">
      <x:c r="A28" s="136" t="str">
        <x:v>Myo Inositol</x:v>
      </x:c>
      <x:c r="B28" s="136" t="str">
        <x:v>01012601020100</x:v>
      </x:c>
      <x:c r="C28" s="137" t="n">
        <x:v>46024</x:v>
      </x:c>
      <x:c r="D28" s="137" t="n">
        <x:v>47119</x:v>
      </x:c>
      <x:c r="E28" s="136" t="str">
        <x:v>Myo Inositol\COA of Myo Inositol PDF.pdf</x:v>
      </x:c>
      <x:c r="F28" s="138" t="str">
        <x:v>COA de matéria-prima; não substituir pela validade do suplemento acabado.</x:v>
      </x:c>
    </x:row>
    <x:row r="29" ht="48" customHeight="1">
      <x:c r="A29" s="136" t="str">
        <x:v>NAC- N-Acetyl, L-Cysteine</x:v>
      </x:c>
      <x:c r="B29" s="136" t="str">
        <x:v>202601891</x:v>
      </x:c>
      <x:c r="C29" s="137" t="n">
        <x:v>46031</x:v>
      </x:c>
      <x:c r="D29" s="137" t="n">
        <x:v>47126</x:v>
      </x:c>
      <x:c r="E29" s="136" t="str">
        <x:v>NAC- N-Acetyl, L-Cysteine\COA of N-Acetyl L-Cysteine PDF.pdf</x:v>
      </x:c>
      <x:c r="F29" s="138" t="str">
        <x:v>COA de matéria-prima; não substituir pela validade do suplemento acabado.</x:v>
      </x:c>
    </x:row>
    <x:row r="30" ht="48" customHeight="1">
      <x:c r="A30" s="136" t="str">
        <x:v>Pine Bark</x:v>
      </x:c>
      <x:c r="B30" s="136" t="str">
        <x:v>20261101</x:v>
      </x:c>
      <x:c r="C30" s="137" t="n">
        <x:v>46033</x:v>
      </x:c>
      <x:c r="D30" s="137" t="n">
        <x:v>47130</x:v>
      </x:c>
      <x:c r="E30" s="136" t="str">
        <x:v>Pine Bark\coa pdf Pine Bark.pdf</x:v>
      </x:c>
      <x:c r="F30" s="138" t="str">
        <x:v>COA de matéria-prima; não substituir pela validade do suplemento acabado.</x:v>
      </x:c>
    </x:row>
    <x:row r="31" ht="48" customHeight="1">
      <x:c r="A31" s="136" t="str">
        <x:v>Plant Sterols</x:v>
      </x:c>
      <x:c r="B31" s="136" t="str">
        <x:v>VSR260115</x:v>
      </x:c>
      <x:c r="C31" s="137" t="n">
        <x:v>46037</x:v>
      </x:c>
      <x:c r="D31" s="137" t="n">
        <x:v>47132</x:v>
      </x:c>
      <x:c r="E31" s="136" t="str">
        <x:v>Plant Sterols\COA of Phytosterols PDF.pdf</x:v>
      </x:c>
      <x:c r="F31" s="138" t="str">
        <x:v>COA de matéria-prima; não substituir pela validade do suplemento acabado.</x:v>
      </x:c>
    </x:row>
    <x:row r="32" ht="48" customHeight="1">
      <x:c r="A32" s="136" t="str">
        <x:v>Plant Sterols</x:v>
      </x:c>
      <x:c r="B32" s="136" t="str"/>
      <x:c r="C32" s="137"/>
      <x:c r="D32" s="137"/>
      <x:c r="E32" s="136" t="str">
        <x:v>Plant Sterols\CoA - Plant Sterols.pdf</x:v>
      </x:c>
      <x:c r="F32" s="138" t="str">
        <x:v>COA de matéria-prima; não substituir pela validade do suplemento acabado.</x:v>
      </x:c>
    </x:row>
    <x:row r="33" ht="48" customHeight="1">
      <x:c r="A33" s="136" t="str">
        <x:v>Plant Sterols</x:v>
      </x:c>
      <x:c r="B33" s="136" t="str">
        <x:v>VSR250621</x:v>
      </x:c>
      <x:c r="C33" s="137" t="n">
        <x:v>45829</x:v>
      </x:c>
      <x:c r="D33" s="137" t="n">
        <x:v>46924</x:v>
      </x:c>
      <x:c r="E33" s="136" t="str">
        <x:v>Plant Sterols\Older Files\18JHD_COA_of_Phytosterols_95__VSR250621[1].pdf</x:v>
      </x:c>
      <x:c r="F33" s="138" t="str">
        <x:v>COA de matéria-prima; não substituir pela validade do suplemento acabado.</x:v>
      </x:c>
    </x:row>
    <x:row r="34" ht="48" customHeight="1">
      <x:c r="A34" s="136" t="str">
        <x:v>Plant Sterols</x:v>
      </x:c>
      <x:c r="B34" s="136" t="str"/>
      <x:c r="C34" s="137"/>
      <x:c r="D34" s="137"/>
      <x:c r="E34" s="136" t="str">
        <x:v>Plant Sterols\Older Files\CoA - Plant Sterols 95% Phytosterols.pdf</x:v>
      </x:c>
      <x:c r="F34" s="138" t="str">
        <x:v>COA de matéria-prima; não substituir pela validade do suplemento acabado.</x:v>
      </x:c>
    </x:row>
    <x:row r="35" ht="48" customHeight="1">
      <x:c r="A35" s="136" t="str">
        <x:v>Plant Sterols</x:v>
      </x:c>
      <x:c r="B35" s="136" t="str">
        <x:v>VSR250621</x:v>
      </x:c>
      <x:c r="C35" s="137" t="n">
        <x:v>45829</x:v>
      </x:c>
      <x:c r="D35" s="137" t="n">
        <x:v>46924</x:v>
      </x:c>
      <x:c r="E35" s="136" t="str">
        <x:v>Plant Sterols\Older Files\CoA - Plant Sterols Complex.pdf</x:v>
      </x:c>
      <x:c r="F35" s="138" t="str">
        <x:v>COA de matéria-prima; não substituir pela validade do suplemento acabado.</x:v>
      </x:c>
    </x:row>
    <x:row r="36" ht="48" customHeight="1">
      <x:c r="A36" s="136" t="str">
        <x:v>Plant Sterols</x:v>
      </x:c>
      <x:c r="B36" s="136" t="str">
        <x:v>VSR250621</x:v>
      </x:c>
      <x:c r="C36" s="137" t="n">
        <x:v>45829</x:v>
      </x:c>
      <x:c r="D36" s="137" t="n">
        <x:v>46924</x:v>
      </x:c>
      <x:c r="E36" s="136" t="str">
        <x:v>Plant Sterols\Older Files\CoA - Plant Sterols.pdf</x:v>
      </x:c>
      <x:c r="F36" s="138" t="str">
        <x:v>COA de matéria-prima; não substituir pela validade do suplemento acabado.</x:v>
      </x:c>
    </x:row>
    <x:row r="37" ht="48" customHeight="1">
      <x:c r="A37" s="136" t="str">
        <x:v>Psyllium Husk</x:v>
      </x:c>
      <x:c r="B37" s="136" t="str">
        <x:v>CQZ260102</x:v>
      </x:c>
      <x:c r="C37" s="137" t="n">
        <x:v>46024</x:v>
      </x:c>
      <x:c r="D37" s="137" t="n">
        <x:v>47119</x:v>
      </x:c>
      <x:c r="E37" s="136" t="str">
        <x:v>Psyllium Husk\Psyllium Husk Pdf.pdf</x:v>
      </x:c>
      <x:c r="F37" s="138" t="str">
        <x:v>COA de matéria-prima; não substituir pela validade do suplemento acabado.</x:v>
      </x:c>
    </x:row>
    <x:row r="38" ht="48" customHeight="1">
      <x:c r="A38" s="136" t="str">
        <x:v>Pygeum</x:v>
      </x:c>
      <x:c r="B38" s="136" t="str">
        <x:v>TGM260113</x:v>
      </x:c>
      <x:c r="C38" s="137" t="n">
        <x:v>46035</x:v>
      </x:c>
      <x:c r="D38" s="137" t="n">
        <x:v>47130</x:v>
      </x:c>
      <x:c r="E38" s="136" t="str">
        <x:v>Pygeum\Coa Pygeum PDF.pdf</x:v>
      </x:c>
      <x:c r="F38" s="138" t="str">
        <x:v>COA de matéria-prima; não substituir pela validade do suplemento acabado.</x:v>
      </x:c>
    </x:row>
    <x:row r="39" ht="48" customHeight="1">
      <x:c r="A39" s="136" t="str">
        <x:v>Sucralose</x:v>
      </x:c>
      <x:c r="B39" s="136" t="str">
        <x:v>SLZT260115</x:v>
      </x:c>
      <x:c r="C39" s="137" t="n">
        <x:v>46037</x:v>
      </x:c>
      <x:c r="D39" s="137" t="n">
        <x:v>47132</x:v>
      </x:c>
      <x:c r="E39" s="136" t="str">
        <x:v>Sucralose\COA of Sucralose PDF.pdf</x:v>
      </x:c>
      <x:c r="F39" s="138" t="str">
        <x:v>COA de matéria-prima; não substituir pela validade do suplemento acabado.</x:v>
      </x:c>
    </x:row>
    <x:row r="40" ht="48" customHeight="1">
      <x:c r="A40" s="136" t="str">
        <x:v>Tribulus Terrestris</x:v>
      </x:c>
      <x:c r="B40" s="136" t="str">
        <x:v>CJL260110</x:v>
      </x:c>
      <x:c r="C40" s="137" t="n">
        <x:v>46032</x:v>
      </x:c>
      <x:c r="D40" s="137" t="n">
        <x:v>47127</x:v>
      </x:c>
      <x:c r="E40" s="136" t="str">
        <x:v>Tribulus Terrestris\Tribulus Terrestris.pdf</x:v>
      </x:c>
      <x:c r="F40" s="138" t="str">
        <x:v>COA de matéria-prima; não substituir pela validade do suplemento acabado.</x:v>
      </x:c>
    </x:row>
    <x:row r="41" ht="48" customHeight="1">
      <x:c r="A41" s="136" t="str">
        <x:v>Valerian Root</x:v>
      </x:c>
      <x:c r="B41" s="136" t="str">
        <x:v>XC260125</x:v>
      </x:c>
      <x:c r="C41" s="137" t="n">
        <x:v>46047</x:v>
      </x:c>
      <x:c r="D41" s="137" t="n">
        <x:v>47142</x:v>
      </x:c>
      <x:c r="E41" s="136" t="str">
        <x:v>Valerian Root\COA of Valerian Extract PDF.pdf</x:v>
      </x:c>
      <x:c r="F41" s="138" t="str">
        <x:v>COA de matéria-prima; não substituir pela validade do suplemento acabado.</x:v>
      </x:c>
    </x:row>
    <x:row r="42" ht="48" customHeight="1">
      <x:c r="A42" s="136" t="str">
        <x:v>Vitamin B1</x:v>
      </x:c>
      <x:c r="B42" s="136" t="str">
        <x:v>Y02202611069</x:v>
      </x:c>
      <x:c r="C42" s="137" t="n">
        <x:v>47125</x:v>
      </x:c>
      <x:c r="D42" s="137"/>
      <x:c r="E42" s="136" t="str">
        <x:v>Vitamin B1\COA of Vitamin B1(Thiamine) PDF.pdf</x:v>
      </x:c>
      <x:c r="F42" s="138" t="str">
        <x:v>COA de matéria-prima; não substituir pela validade do suplemento acabado.</x:v>
      </x:c>
    </x:row>
    <x:row r="43" ht="48" customHeight="1">
      <x:c r="A43" s="136" t="str">
        <x:v>Vitamin B2</x:v>
      </x:c>
      <x:c r="B43" s="136" t="str">
        <x:v>C352612820</x:v>
      </x:c>
      <x:c r="C43" s="137" t="n">
        <x:v>46035</x:v>
      </x:c>
      <x:c r="D43" s="137" t="n">
        <x:v>47130</x:v>
      </x:c>
      <x:c r="E43" s="136" t="str">
        <x:v>Vitamin B2\COA of Vitamin B2(Riboflavin).pdf</x:v>
      </x:c>
      <x:c r="F43" s="138" t="str">
        <x:v>COA de matéria-prima; não substituir pela validade do suplemento acabado.</x:v>
      </x:c>
    </x:row>
    <x:row r="44" ht="48" customHeight="1">
      <x:c r="A44" s="136" t="str">
        <x:v>White Kidney Bean</x:v>
      </x:c>
      <x:c r="B44" s="136" t="str">
        <x:v>BYD260105</x:v>
      </x:c>
      <x:c r="C44" s="137" t="n">
        <x:v>46027</x:v>
      </x:c>
      <x:c r="D44" s="137" t="n">
        <x:v>47122</x:v>
      </x:c>
      <x:c r="E44" s="136" t="str">
        <x:v>White Kidney Bean\COA of White Kidney Bean Extract PDF.pdf</x:v>
      </x:c>
      <x:c r="F44" s="138" t="str">
        <x:v>COA de matéria-prima; não substituir pela validade do suplemento acabado.</x:v>
      </x:c>
    </x:row>
  </x:sheetData>
  <x:mergeCells>
    <x:mergeCell ref="A1:F1"/>
    <x:mergeCell ref="A2:F2"/>
  </x:mergeCells>
  <x:pageMargins left="0.7" right="0.7" top="0.75" bottom="0.75" header="0.3" footer="0.3"/>
  <x:tableParts count="1">
    <x:tablePart xmlns:r="http://schemas.openxmlformats.org/officeDocument/2006/relationships" r:id="Rdf069cc6f21b4d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78"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3" t="str">
        <x:v>Metodologia e Cobertura</x:v>
      </x:c>
      <x:c r="B1" s="3"/>
      <x:c r="C1" s="3"/>
      <x:c r="D1" s="3"/>
      <x:c r="E1" s="3"/>
      <x:c r="F1" s="3"/>
      <x:c r="G1" s="3"/>
      <x:c r="H1" s="3"/>
    </x:row>
    <x:row r="2" ht="28" customHeight="1">
      <x:c r="A2" s="6" t="str">
        <x:v>Critérios usados para inventariar, selecionar, extrair e validar as informações.</x:v>
      </x:c>
      <x:c r="B2" s="6"/>
      <x:c r="C2" s="6"/>
      <x:c r="D2" s="6"/>
      <x:c r="E2" s="6"/>
      <x:c r="F2" s="6"/>
      <x:c r="G2" s="6"/>
      <x:c r="H2" s="6"/>
    </x:row>
    <x:row r="4">
      <x:c r="A4" t="str">
        <x:v>Campo</x:v>
      </x:c>
      <x:c r="B4" t="str">
        <x:v>Descrição</x:v>
      </x:c>
    </x:row>
    <x:row r="5" ht="56" customHeight="1">
      <x:c r="A5" s="141" t="str">
        <x:v>Escopo inventariado</x:v>
      </x:c>
      <x:c r="B5" s="141" t="str">
        <x:v>7.665 arquivos; 117,26 GB; 75 pastas de primeiro nível</x:v>
      </x:c>
    </x:row>
    <x:row r="6" ht="56" customHeight="1">
      <x:c r="A6" s="141" t="str">
        <x:v>Pasta raiz</x:v>
      </x:c>
      <x:c r="B6" s="141" t="str">
        <x:v>D:\Google Drive Streaming\Shared drives\HealthFare\PRODUCT ASSETS</x:v>
      </x:c>
    </x:row>
    <x:row r="7" ht="56" customHeight="1">
      <x:c r="A7" s="141" t="str">
        <x:v>Formatos encontrados</x:v>
      </x:c>
      <x:c r="B7" s="141" t="str">
        <x:v>JPG, PNG, PSD, AI, PDF, MP4, PRPROJ, AEP, DOCX, XLSX e outros</x:v>
      </x:c>
    </x:row>
    <x:row r="8" ht="56" customHeight="1">
      <x:c r="A8" s="141" t="str">
        <x:v>SKUs consolidados</x:v>
      </x:c>
      <x:c r="B8" s="141" t="str">
        <x:v>98</x:v>
      </x:c>
    </x:row>
    <x:row r="9" ht="56" customHeight="1">
      <x:c r="A9" s="141" t="str">
        <x:v>Validades localizadas</x:v>
      </x:c>
      <x:c r="B9" s="141" t="str">
        <x:v>98</x:v>
      </x:c>
    </x:row>
    <x:row r="10" ht="56" customHeight="1">
      <x:c r="A10" s="141" t="str">
        <x:v>Porções localizadas</x:v>
      </x:c>
      <x:c r="B10" s="141" t="str">
        <x:v>98</x:v>
      </x:c>
    </x:row>
    <x:row r="11" ht="56" customHeight="1">
      <x:c r="A11" s="141" t="str">
        <x:v>Painéis/ativos localizados</x:v>
      </x:c>
      <x:c r="B11" s="141" t="str">
        <x:v>98</x:v>
      </x:c>
    </x:row>
    <x:row r="12" ht="56" customHeight="1">
      <x:c r="A12" s="141" t="str">
        <x:v>Itens em HOLD</x:v>
      </x:c>
      <x:c r="B12" s="141" t="str">
        <x:v>1</x:v>
      </x:c>
    </x:row>
    <x:row r="13" ht="56" customHeight="1">
      <x:c r="A13" s="141" t="str">
        <x:v>COAs de matéria-prima</x:v>
      </x:c>
      <x:c r="B13" s="141" t="str">
        <x:v>40</x:v>
      </x:c>
    </x:row>
    <x:row r="14" ht="56" customHeight="1">
      <x:c r="A14" s="141" t="str">
        <x:v>Prioridade de fonte</x:v>
      </x:c>
      <x:c r="B14" s="141" t="str">
        <x:v>Arte atual de impressão fora de Older/System; AI compatível com PDF; rótulo de sistema para Supplement Facts; revisão visual quando o texto estava em contornos.</x:v>
      </x:c>
    </x:row>
    <x:row r="15" ht="56" customHeight="1">
      <x:c r="A15" s="141" t="str">
        <x:v>Tratamento da validade</x:v>
      </x:c>
      <x:c r="B15" s="141" t="str">
        <x:v>Somente Best By / Expiration Date explícito no rótulo. O valor é mês/ano; nenhuma data de modificação do arquivo foi usada.</x:v>
      </x:c>
    </x:row>
    <x:row r="16" ht="56" customHeight="1">
      <x:c r="A16" s="141" t="str">
        <x:v>Tratamento de lotes</x:v>
      </x:c>
      <x:c r="B16" s="141" t="str">
        <x:v>Padrões BR-AAAA-NNNN foram lidos com alta confiança. Outros lotes podem refletir a ordem de extração vetorial e são marcados com confiança média.</x:v>
      </x:c>
    </x:row>
    <x:row r="17" ht="56" customHeight="1">
      <x:c r="A17" s="141" t="str">
        <x:v>NaturWel</x:v>
      </x:c>
      <x:c r="B17" s="141" t="str">
        <x:v>Cinco rótulos foram renderizados e transcritos visualmente porque o texto estava convertido em contornos.</x:v>
      </x:c>
    </x:row>
    <x:row r="18" ht="56" customHeight="1">
      <x:c r="A18" s="141" t="str">
        <x:v>COAs</x:v>
      </x:c>
      <x:c r="B18" s="141" t="str">
        <x:v>A aba de COAs contém matéria-prima e é deliberadamente separada da validade do produto acabado.</x:v>
      </x:c>
    </x:row>
    <x:row r="19" ht="56" customHeight="1">
      <x:c r="A19" s="141" t="str">
        <x:v>Limitação operacional</x:v>
      </x:c>
      <x:c r="B19" s="141" t="str">
        <x:v>Antes de liberar, imprimir ou destruir estoque, confirme visualmente lote e validade no rótulo físico/arte final aprovada.</x:v>
      </x:c>
    </x:row>
  </x:sheetData>
  <x:mergeCells>
    <x:mergeCell ref="A1:H1"/>
    <x:mergeCell ref="A2:H2"/>
  </x:mergeCells>
  <x:pageMargins left="0.7" right="0.7" top="0.75" bottom="0.75" header="0.3" footer="0.3"/>
  <x:tableParts count="1">
    <x:tablePart xmlns:r="http://schemas.openxmlformats.org/officeDocument/2006/relationships" r:id="R0578b2cc4ffa4adf"/>
  </x:tableParts>
</x:worksheet>
</file>